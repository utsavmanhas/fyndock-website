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Profit &amp; Loss" sheetId="3" state="visible" r:id="rId5"/>
    <sheet name="Balance Sheet" sheetId="4" state="visible" r:id="rId6"/>
    <sheet name="Cash Flow" sheetId="5" state="visible" r:id="rId7"/>
    <sheet name="Revenue Analysis" sheetId="6" state="visible" r:id="rId8"/>
    <sheet name="Cost Analysis" sheetId="7" state="visible" r:id="rId9"/>
    <sheet name="CFO Narrativ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<sst xmlns="http://schemas.openxmlformats.org/spreadsheetml/2006/main" count="247" uniqueCount="206">
  <si>
    <t xml:space="preserve">MERIDIAN CONSULTING PRIVATE LIMITED</t>
  </si>
  <si>
    <t xml:space="preserve">Monthly Management Information System (MIS) Report</t>
  </si>
  <si>
    <t xml:space="preserve">Period: Quarter ended 31 December 2025  |  Reporting Currency: ₹ Lakhs</t>
  </si>
  <si>
    <t xml:space="preserve">ANONYMISED SAMPLE — Meridian Consulting is a fictional entity. Numbers and names are synthetic and for product demonstration only.</t>
  </si>
  <si>
    <t xml:space="preserve">What's in this workbook</t>
  </si>
  <si>
    <t xml:space="preserve">#</t>
  </si>
  <si>
    <t xml:space="preserve">Sheet</t>
  </si>
  <si>
    <t xml:space="preserve">What it shows</t>
  </si>
  <si>
    <t xml:space="preserve">01</t>
  </si>
  <si>
    <t xml:space="preserve">Executive Summary</t>
  </si>
  <si>
    <t xml:space="preserve">KPI dashboard with traffic-light flags and quarter-on-quarter view</t>
  </si>
  <si>
    <t xml:space="preserve">02</t>
  </si>
  <si>
    <t xml:space="preserve">Profit &amp; Loss</t>
  </si>
  <si>
    <t xml:space="preserve">Monthly + YTD revenue, costs, EBITDA, PAT — actuals vs budget vs prior year</t>
  </si>
  <si>
    <t xml:space="preserve">03</t>
  </si>
  <si>
    <t xml:space="preserve">Balance Sheet</t>
  </si>
  <si>
    <t xml:space="preserve">Position as on 31 Dec 25, with movements vs prior quarter</t>
  </si>
  <si>
    <t xml:space="preserve">04</t>
  </si>
  <si>
    <t xml:space="preserve">Cash Flow</t>
  </si>
  <si>
    <t xml:space="preserve">Direct-method statement, monthly bank balances, working-capital roll</t>
  </si>
  <si>
    <t xml:space="preserve">05</t>
  </si>
  <si>
    <t xml:space="preserve">Revenue Analysis</t>
  </si>
  <si>
    <t xml:space="preserve">Service-line P&amp;L — Advisory / Implementation / Retainers / Training</t>
  </si>
  <si>
    <t xml:space="preserve">06</t>
  </si>
  <si>
    <t xml:space="preserve">Cost Analysis</t>
  </si>
  <si>
    <t xml:space="preserve">Cost ratios, headcount efficiency, category mix</t>
  </si>
  <si>
    <t xml:space="preserve">07</t>
  </si>
  <si>
    <t xml:space="preserve">CFO Narrative</t>
  </si>
  <si>
    <t xml:space="preserve">Plain-English commentary on the quarter, with red-flag list</t>
  </si>
  <si>
    <t xml:space="preserve">How a real Fyndock MIS differs from this sample</t>
  </si>
  <si>
    <t xml:space="preserve">•  Custom industry KPIs — for example, Cost-per-Engagement for consulting, Revenue-per-Consultant, Pipeline coverage, Utilisation %</t>
  </si>
  <si>
    <t xml:space="preserve">•  Conditional formatting and red flags tuned to your business (e.g. customer concentration, debtor days, loss-making service lines)</t>
  </si>
  <si>
    <t xml:space="preserve">•  Reconciliation back to your Tally / Zoho / QuickBooks export, with all variances explained in the CFO narrative</t>
  </si>
  <si>
    <t xml:space="preserve">•  Statutory tie-out — GST and TDS reconciliations included so you ship returns without surprises</t>
  </si>
  <si>
    <t xml:space="preserve">•  Board-ready PDF pack derived from the same workbook, with talking-points memo for promoter / investor reviews</t>
  </si>
  <si>
    <t xml:space="preserve">Prepared by Fyndock — fyndock.com  |  S.P. Manhas &amp; Co., Chartered Accountants  |  hello@fyndock.com</t>
  </si>
  <si>
    <t xml:space="preserve">ANONYMISED SAMPLE — FOR DEMONSTRATION ONLY · MERIDIAN CONSULTING IS A FICTIONAL ENTITY</t>
  </si>
  <si>
    <t xml:space="preserve">Executive Summary — Quarter ended 31 Dec 2025</t>
  </si>
  <si>
    <t xml:space="preserve">Headline KPIs</t>
  </si>
  <si>
    <t xml:space="preserve">Net Revenue</t>
  </si>
  <si>
    <t xml:space="preserve">EBITDA Margin</t>
  </si>
  <si>
    <t xml:space="preserve">Liquidity Months</t>
  </si>
  <si>
    <t xml:space="preserve">Debtor Days</t>
  </si>
  <si>
    <t xml:space="preserve">+25.8 (+11.7%) vs prior</t>
  </si>
  <si>
    <t xml:space="preserve">+2.8 pp vs prior</t>
  </si>
  <si>
    <t xml:space="preserve">-2.8 mo vs prior</t>
  </si>
  <si>
    <t xml:space="preserve">+9 days vs prior</t>
  </si>
  <si>
    <t xml:space="preserve">₹ Lakhs</t>
  </si>
  <si>
    <t xml:space="preserve">%</t>
  </si>
  <si>
    <t xml:space="preserve">Months</t>
  </si>
  <si>
    <t xml:space="preserve">Days</t>
  </si>
  <si>
    <t xml:space="preserve">Quarter at a glance (₹ Lakhs)</t>
  </si>
  <si>
    <t xml:space="preserve">Line item</t>
  </si>
  <si>
    <t xml:space="preserve">Oct-25</t>
  </si>
  <si>
    <t xml:space="preserve">Nov-25</t>
  </si>
  <si>
    <t xml:space="preserve">Dec-25</t>
  </si>
  <si>
    <t xml:space="preserve">Q3 FY26</t>
  </si>
  <si>
    <t xml:space="preserve">Q3 FY25</t>
  </si>
  <si>
    <t xml:space="preserve">Var %</t>
  </si>
  <si>
    <t xml:space="preserve">Revenue from Services</t>
  </si>
  <si>
    <t xml:space="preserve">Cost of Delivery</t>
  </si>
  <si>
    <t xml:space="preserve">Gross Margin</t>
  </si>
  <si>
    <t xml:space="preserve">Operating Expenses</t>
  </si>
  <si>
    <t xml:space="preserve">EBITDA</t>
  </si>
  <si>
    <t xml:space="preserve">Finance Costs</t>
  </si>
  <si>
    <t xml:space="preserve">Tax</t>
  </si>
  <si>
    <t xml:space="preserve">Profit After Tax</t>
  </si>
  <si>
    <t xml:space="preserve">CFO note (full version on Sheet 7 — CFO Narrative)</t>
  </si>
  <si>
    <t xml:space="preserve">Q3 closed 11.7% ahead of prior year on Net Revenue, helped by two new retainer wins in November. EBITDA margin expanded ~170bps as utilisation improved from 64% to 71%. Two items to watch: debtor days slipped from 52 to 61 (one large client at 92 days — see Cost Analysis), and cash runway is now 8.2 months — below the internal 12-month threshold. We recommend tightening collection cadence on Top-3 clients and reviewing the H1-FY26 capex schedule.</t>
  </si>
  <si>
    <t xml:space="preserve">Profit &amp; Loss — Quarter ended 31 Dec 2025</t>
  </si>
  <si>
    <t xml:space="preserve">Particulars (₹ Lakhs)</t>
  </si>
  <si>
    <t xml:space="preserve">Budget Q3</t>
  </si>
  <si>
    <t xml:space="preserve">Var vs Bud %</t>
  </si>
  <si>
    <t xml:space="preserve">REVENUE</t>
  </si>
  <si>
    <t xml:space="preserve">Advisory Engagements</t>
  </si>
  <si>
    <t xml:space="preserve">Implementation Projects</t>
  </si>
  <si>
    <t xml:space="preserve">Retainer Contracts</t>
  </si>
  <si>
    <t xml:space="preserve">Training &amp; Workshops</t>
  </si>
  <si>
    <t xml:space="preserve">Total Revenue</t>
  </si>
  <si>
    <t xml:space="preserve">COST OF DELIVERY</t>
  </si>
  <si>
    <t xml:space="preserve">Consultant Salaries — billable</t>
  </si>
  <si>
    <t xml:space="preserve">Sub-contractor Charges</t>
  </si>
  <si>
    <t xml:space="preserve">Travel &amp; Disbursements (billed)</t>
  </si>
  <si>
    <t xml:space="preserve">Total Cost of Delivery</t>
  </si>
  <si>
    <t xml:space="preserve">Gross Margin %</t>
  </si>
  <si>
    <t xml:space="preserve">OPERATING EXPENSES</t>
  </si>
  <si>
    <t xml:space="preserve">Salaries — non-billable</t>
  </si>
  <si>
    <t xml:space="preserve">Rent &amp; Utilities</t>
  </si>
  <si>
    <t xml:space="preserve">Marketing &amp; Business Development</t>
  </si>
  <si>
    <t xml:space="preserve">Software &amp; Subscriptions</t>
  </si>
  <si>
    <t xml:space="preserve">Professional Fees (CA, Legal)</t>
  </si>
  <si>
    <t xml:space="preserve">Other Admin Expenses</t>
  </si>
  <si>
    <t xml:space="preserve">Total Opex</t>
  </si>
  <si>
    <t xml:space="preserve">EBITDA Margin %</t>
  </si>
  <si>
    <t xml:space="preserve">Depreciation</t>
  </si>
  <si>
    <t xml:space="preserve">Profit Before Tax</t>
  </si>
  <si>
    <t xml:space="preserve">PAT Margin %</t>
  </si>
  <si>
    <t xml:space="preserve">Balance Sheet — As on 31 Dec 2025</t>
  </si>
  <si>
    <t xml:space="preserve">Sep-25</t>
  </si>
  <si>
    <t xml:space="preserve">Movement</t>
  </si>
  <si>
    <t xml:space="preserve">Movement %</t>
  </si>
  <si>
    <t xml:space="preserve">EQUITY &amp; LIABILITIES</t>
  </si>
  <si>
    <t xml:space="preserve">Share Capital</t>
  </si>
  <si>
    <t xml:space="preserve">Reserves &amp; Surplus</t>
  </si>
  <si>
    <t xml:space="preserve">Total Shareholders' Funds</t>
  </si>
  <si>
    <t xml:space="preserve">Long-term Borrowings</t>
  </si>
  <si>
    <t xml:space="preserve">Trade Payables</t>
  </si>
  <si>
    <t xml:space="preserve">Other Current Liabilities</t>
  </si>
  <si>
    <t xml:space="preserve">Statutory Liabilities (GST/TDS)</t>
  </si>
  <si>
    <t xml:space="preserve">Total Liabilities</t>
  </si>
  <si>
    <t xml:space="preserve">TOTAL EQUITY &amp; LIABILITIES</t>
  </si>
  <si>
    <t xml:space="preserve">ASSETS</t>
  </si>
  <si>
    <t xml:space="preserve">Property, Plant &amp; Equipment (Net)</t>
  </si>
  <si>
    <t xml:space="preserve">Intangible Assets</t>
  </si>
  <si>
    <t xml:space="preserve">Trade Receivables</t>
  </si>
  <si>
    <t xml:space="preserve">    of which: Receivables &gt; 90 days (memo)</t>
  </si>
  <si>
    <t xml:space="preserve">Cash &amp; Bank Balances</t>
  </si>
  <si>
    <t xml:space="preserve">Other Current Assets</t>
  </si>
  <si>
    <t xml:space="preserve">TOTAL ASSETS</t>
  </si>
  <si>
    <t xml:space="preserve">Tie-out check</t>
  </si>
  <si>
    <t xml:space="preserve">Total Assets − Total Equity &amp; Liabilities (should be zero)</t>
  </si>
  <si>
    <t xml:space="preserve">Cash Flow Statement — Q3 FY26 (Direct Method)</t>
  </si>
  <si>
    <t xml:space="preserve">Opening Cash &amp; Bank</t>
  </si>
  <si>
    <t xml:space="preserve">CASH FROM OPERATIONS</t>
  </si>
  <si>
    <t xml:space="preserve">Receipts from Clients (incl GST)</t>
  </si>
  <si>
    <t xml:space="preserve">Payments to Consultants &amp; Vendors</t>
  </si>
  <si>
    <t xml:space="preserve">Salaries &amp; Wages</t>
  </si>
  <si>
    <t xml:space="preserve">Other Operating Payments</t>
  </si>
  <si>
    <t xml:space="preserve">Statutory Payments (GST/TDS)</t>
  </si>
  <si>
    <t xml:space="preserve">Direct Tax Paid</t>
  </si>
  <si>
    <t xml:space="preserve">Net Cash from Operations</t>
  </si>
  <si>
    <t xml:space="preserve">CASH FROM INVESTING</t>
  </si>
  <si>
    <t xml:space="preserve">Purchase of PPE / Software</t>
  </si>
  <si>
    <t xml:space="preserve">Net Cash from Investing</t>
  </si>
  <si>
    <t xml:space="preserve">CASH FROM FINANCING</t>
  </si>
  <si>
    <t xml:space="preserve">Repayment of Borrowings</t>
  </si>
  <si>
    <t xml:space="preserve">Interest Paid</t>
  </si>
  <si>
    <t xml:space="preserve">Net Cash from Financing</t>
  </si>
  <si>
    <t xml:space="preserve">Net Change in Cash</t>
  </si>
  <si>
    <t xml:space="preserve">Closing Cash &amp; Bank</t>
  </si>
  <si>
    <t xml:space="preserve">Revenue Analysis — Service Lines, Q3 FY26</t>
  </si>
  <si>
    <t xml:space="preserve">Service Line</t>
  </si>
  <si>
    <t xml:space="preserve">Revenue Q3 (₹L)</t>
  </si>
  <si>
    <t xml:space="preserve">Revenue Q3 FY25 (₹L)</t>
  </si>
  <si>
    <t xml:space="preserve">YoY Growth %</t>
  </si>
  <si>
    <t xml:space="preserve">Direct Cost (₹L)</t>
  </si>
  <si>
    <t xml:space="preserve">Contribution (₹L)</t>
  </si>
  <si>
    <t xml:space="preserve">Contribution %</t>
  </si>
  <si>
    <t xml:space="preserve">Total</t>
  </si>
  <si>
    <t xml:space="preserve">Top-3 client concentration</t>
  </si>
  <si>
    <t xml:space="preserve">Client (anonymised)</t>
  </si>
  <si>
    <t xml:space="preserve">Q3 Revenue (₹L)</t>
  </si>
  <si>
    <t xml:space="preserve">% of Quarter Rev</t>
  </si>
  <si>
    <t xml:space="preserve">Days Outstanding (Avg)</t>
  </si>
  <si>
    <t xml:space="preserve">Status</t>
  </si>
  <si>
    <t xml:space="preserve">Client A — Tech Services co</t>
  </si>
  <si>
    <t xml:space="preserve">WATCH</t>
  </si>
  <si>
    <t xml:space="preserve">Client B — Mid-market industrial</t>
  </si>
  <si>
    <t xml:space="preserve">OK</t>
  </si>
  <si>
    <t xml:space="preserve">Client C — Listed retailer</t>
  </si>
  <si>
    <t xml:space="preserve">Cost Analysis &amp; Headcount Efficiency — Q3 FY26</t>
  </si>
  <si>
    <t xml:space="preserve">Cost Bucket</t>
  </si>
  <si>
    <t xml:space="preserve">Q3 FY26 (₹L)</t>
  </si>
  <si>
    <t xml:space="preserve">% of Revenue</t>
  </si>
  <si>
    <t xml:space="preserve">Q3 FY25 (₹L)</t>
  </si>
  <si>
    <t xml:space="preserve">% of Revenue (Prior)</t>
  </si>
  <si>
    <t xml:space="preserve">People — billable</t>
  </si>
  <si>
    <t xml:space="preserve">People — non-billable</t>
  </si>
  <si>
    <t xml:space="preserve">Sub-contractors</t>
  </si>
  <si>
    <t xml:space="preserve">Travel (billable)</t>
  </si>
  <si>
    <t xml:space="preserve">Marketing &amp; BD</t>
  </si>
  <si>
    <t xml:space="preserve">Professional Fees</t>
  </si>
  <si>
    <t xml:space="preserve">Other Admin</t>
  </si>
  <si>
    <t xml:space="preserve">Total Cost</t>
  </si>
  <si>
    <t xml:space="preserve">Headcount efficiency</t>
  </si>
  <si>
    <t xml:space="preserve">Metric</t>
  </si>
  <si>
    <t xml:space="preserve">Var</t>
  </si>
  <si>
    <t xml:space="preserve">Notes</t>
  </si>
  <si>
    <t xml:space="preserve">Billable Headcount (avg)</t>
  </si>
  <si>
    <t xml:space="preserve">Non-billable Headcount (avg)</t>
  </si>
  <si>
    <t xml:space="preserve">Utilisation %</t>
  </si>
  <si>
    <t xml:space="preserve">Target 70%+</t>
  </si>
  <si>
    <t xml:space="preserve">Revenue per Billable FTE (₹L)</t>
  </si>
  <si>
    <t xml:space="preserve">Q3 figure</t>
  </si>
  <si>
    <t xml:space="preserve">Cost per Billable FTE (₹L)</t>
  </si>
  <si>
    <t xml:space="preserve">CFO Narrative — Quarter ended 31 Dec 2025</t>
  </si>
  <si>
    <t xml:space="preserve">What went well</t>
  </si>
  <si>
    <t xml:space="preserve">✓</t>
  </si>
  <si>
    <t xml:space="preserve">Net Revenue grew 11.7% YoY to ₹245.8 L; ahead of internal budget by 5.6%. Two retainer wins in November contributed an annualised ₹50 L+ revenue line.</t>
  </si>
  <si>
    <t xml:space="preserve">EBITDA margin expanded from 16.5% to 18.2% as utilisation improved from 64% to 71%. Operating leverage starting to show.</t>
  </si>
  <si>
    <t xml:space="preserve">Implementation Projects revenue grew 12% YoY — strongest growth among service lines. Client-mix is moving from one-off advisory to longer-cycle implementation work.</t>
  </si>
  <si>
    <t xml:space="preserve">What needs attention</t>
  </si>
  <si>
    <t xml:space="preserve">!</t>
  </si>
  <si>
    <t xml:space="preserve">Debtor days slipped from 52 to 61. Receivables &gt; 90 days grew from ₹22.6 L to ₹38.4 L. One large client (Client A) is at 92 DSO — single biggest collection priority.</t>
  </si>
  <si>
    <t xml:space="preserve">Cash runway is now 8.2 months — below internal threshold of 12 months. Driven by tax outflow (₹7.6 L) and higher receivables, not by lower trading.</t>
  </si>
  <si>
    <t xml:space="preserve">Marketing &amp; BD spend up 25% YoY (₹8.0 L vs ₹6.4 L). Pipeline coverage hasn't kept pace — currently 1.7x against target of 3.0x by Q4.</t>
  </si>
  <si>
    <t xml:space="preserve">Sub-contractor charges up 19% YoY. Reflects two delivery spikes in November. Worth checking whether to convert one role to a hire.</t>
  </si>
  <si>
    <t xml:space="preserve">Red flags — act this week</t>
  </si>
  <si>
    <t xml:space="preserve">⚑</t>
  </si>
  <si>
    <t xml:space="preserve">Client A is 92 DSO and represents 22% of Q3 revenue. Recommend a senior-level call with their finance team this week and a short-pay-for-discount offer if needed. We have drafted a follow-up note.</t>
  </si>
  <si>
    <t xml:space="preserve">Q4 forecast shows another tax outflow of ~₹9 L in March. With current runway, we recommend either drawing ₹15 L from the working-capital facility (unused) or accelerating two large invoices already approved.</t>
  </si>
  <si>
    <t xml:space="preserve">Three numbers to watch next month</t>
  </si>
  <si>
    <t xml:space="preserve">1.  Receivables &gt; 90 days — target: ₹38 L → ₹25 L by 31-Jan-26</t>
  </si>
  <si>
    <t xml:space="preserve">2.  Pipeline coverage ratio — target: 1.7x → 2.5x by 31-Jan-26</t>
  </si>
  <si>
    <t xml:space="preserve">3.  Cash &amp; Bank — target: ₹95 L floor (don't dip below ₹85 L pre-tax)</t>
  </si>
  <si>
    <t xml:space="preserve">Prepared by Fyndock — fyndock.com  ·  S.P. Manhas &amp; Co., Chartered Accountants  ·  Anonymised demonstration sample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</si>
</sst>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(#,##0.0\);\-"/>
    <numFmt numFmtId="166" formatCode="0.0%;\(0.0%\);\-"/>
    <numFmt numFmtId="167" formatCode="#,##0;\(#,##0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C1527"/>
      <name val="Calibri"/>
      <family val="0"/>
      <charset val="1"/>
    </font>
    <font>
      <i val="true"/>
      <sz val="14"/>
      <color rgb="FF5E4A78"/>
      <name val="Calibri"/>
      <family val="0"/>
      <charset val="1"/>
    </font>
    <font>
      <sz val="11"/>
      <color rgb="FF8E8B82"/>
      <name val="Calibri"/>
      <family val="0"/>
      <charset val="1"/>
    </font>
    <font>
      <b val="true"/>
      <i val="true"/>
      <sz val="10"/>
      <color rgb="FFC4A35A"/>
      <name val="Calibri"/>
      <family val="0"/>
      <charset val="1"/>
    </font>
    <font>
      <b val="true"/>
      <sz val="14"/>
      <color rgb="FF1C152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C1527"/>
      <name val="Consolas"/>
      <family val="0"/>
      <charset val="1"/>
    </font>
    <font>
      <b val="true"/>
      <sz val="11"/>
      <color rgb="FF1C1527"/>
      <name val="Calibri"/>
      <family val="0"/>
      <charset val="1"/>
    </font>
    <font>
      <sz val="10"/>
      <color rgb="FF1C1B18"/>
      <name val="Calibri"/>
      <family val="0"/>
      <charset val="1"/>
    </font>
    <font>
      <i val="true"/>
      <sz val="9"/>
      <color rgb="FF8E8B82"/>
      <name val="Calibri"/>
      <family val="0"/>
      <charset val="1"/>
    </font>
    <font>
      <b val="true"/>
      <sz val="22"/>
      <color rgb="FF1C1527"/>
      <name val="Calibri"/>
      <family val="0"/>
      <charset val="1"/>
    </font>
    <font>
      <b val="true"/>
      <sz val="9"/>
      <color rgb="FF8E8B82"/>
      <name val="Calibri"/>
      <family val="0"/>
      <charset val="1"/>
    </font>
    <font>
      <b val="true"/>
      <sz val="20"/>
      <color rgb="FF1C1527"/>
      <name val="Calibri"/>
      <family val="0"/>
      <charset val="1"/>
    </font>
    <font>
      <sz val="9"/>
      <color rgb="FF1A4731"/>
      <name val="Consolas"/>
      <family val="0"/>
      <charset val="1"/>
    </font>
    <font>
      <sz val="9"/>
      <color rgb="FFC17A2A"/>
      <name val="Consolas"/>
      <family val="0"/>
      <charset val="1"/>
    </font>
    <font>
      <sz val="9"/>
      <color rgb="FF7A1530"/>
      <name val="Consolas"/>
      <family val="0"/>
      <charset val="1"/>
    </font>
    <font>
      <sz val="10"/>
      <color rgb="FF1C1B18"/>
      <name val="Consolas"/>
      <family val="0"/>
      <charset val="1"/>
    </font>
    <font>
      <b val="true"/>
      <sz val="10"/>
      <color rgb="FFC17A2A"/>
      <name val="Calibri"/>
      <family val="0"/>
      <charset val="1"/>
    </font>
    <font>
      <b val="true"/>
      <sz val="10"/>
      <color rgb="FF1A4731"/>
      <name val="Calibri"/>
      <family val="0"/>
      <charset val="1"/>
    </font>
    <font>
      <b val="true"/>
      <sz val="14"/>
      <color rgb="FF1A4731"/>
      <name val="Calibri"/>
      <family val="0"/>
      <charset val="1"/>
    </font>
    <font>
      <b val="true"/>
      <sz val="11"/>
      <color rgb="FF1A4731"/>
      <name val="Calibri"/>
      <family val="0"/>
      <charset val="1"/>
    </font>
    <font>
      <b val="true"/>
      <sz val="14"/>
      <color rgb="FFC17A2A"/>
      <name val="Calibri"/>
      <family val="0"/>
      <charset val="1"/>
    </font>
    <font>
      <b val="true"/>
      <sz val="11"/>
      <color rgb="FFC17A2A"/>
      <name val="Calibri"/>
      <family val="0"/>
      <charset val="1"/>
    </font>
    <font>
      <b val="true"/>
      <sz val="14"/>
      <color rgb="FF7A1530"/>
      <name val="Calibri"/>
      <family val="0"/>
      <charset val="1"/>
    </font>
    <font>
      <b val="true"/>
      <sz val="11"/>
      <color rgb="FF7A1530"/>
      <name val="Calibri"/>
      <family val="0"/>
      <charset val="1"/>
    </font>
    <font>
      <b val="true"/>
      <sz val="10"/>
      <color rgb="FF7A153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C1527"/>
        <bgColor rgb="FF1C1B18"/>
      </patternFill>
    </fill>
    <fill>
      <patternFill patternType="solid">
        <fgColor rgb="FFF6EDD8"/>
        <bgColor rgb="FFFDECD4"/>
      </patternFill>
    </fill>
    <fill>
      <patternFill patternType="solid">
        <fgColor rgb="FF2A1F3D"/>
        <bgColor rgb="FF1C1527"/>
      </patternFill>
    </fill>
    <fill>
      <patternFill patternType="solid">
        <fgColor rgb="FFC4A35A"/>
        <bgColor rgb="FFC17A2A"/>
      </patternFill>
    </fill>
    <fill>
      <patternFill patternType="solid">
        <fgColor rgb="FFD4EDDE"/>
        <bgColor rgb="FFE8E3F0"/>
      </patternFill>
    </fill>
    <fill>
      <patternFill patternType="solid">
        <fgColor rgb="FFFDECD4"/>
        <bgColor rgb="FFF6EDD8"/>
      </patternFill>
    </fill>
    <fill>
      <patternFill patternType="solid">
        <fgColor rgb="FFF8D6E0"/>
        <bgColor rgb="FFE8E3F0"/>
      </patternFill>
    </fill>
    <fill>
      <patternFill patternType="solid">
        <fgColor rgb="FFFAF9F6"/>
        <bgColor rgb="FFFFFFFF"/>
      </patternFill>
    </fill>
    <fill>
      <patternFill patternType="solid">
        <fgColor rgb="FFF2F0EB"/>
        <bgColor rgb="FFF6EDD8"/>
      </patternFill>
    </fill>
    <fill>
      <patternFill patternType="solid">
        <fgColor rgb="FFE8E3F0"/>
        <bgColor rgb="FFF2F0E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3A2D54"/>
      </top>
      <bottom style="medium">
        <color rgb="FF3A2D5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2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9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530"/>
      <rgbColor rgb="FF008000"/>
      <rgbColor rgb="FF1C1527"/>
      <rgbColor rgb="FFC17A2A"/>
      <rgbColor rgb="FF800080"/>
      <rgbColor rgb="FF008080"/>
      <rgbColor rgb="FFCCCCCC"/>
      <rgbColor rgb="FF8E8B82"/>
      <rgbColor rgb="FF9999FF"/>
      <rgbColor rgb="FF993366"/>
      <rgbColor rgb="FFFDECD4"/>
      <rgbColor rgb="FFF2F0EB"/>
      <rgbColor rgb="FF660066"/>
      <rgbColor rgb="FFFF8080"/>
      <rgbColor rgb="FF0066CC"/>
      <rgbColor rgb="FFE8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9F6"/>
      <rgbColor rgb="FFD4EDDE"/>
      <rgbColor rgb="FFF6EDD8"/>
      <rgbColor rgb="FF99CCFF"/>
      <rgbColor rgb="FFFF99CC"/>
      <rgbColor rgb="FFCC99FF"/>
      <rgbColor rgb="FFF8D6E0"/>
      <rgbColor rgb="FF3366FF"/>
      <rgbColor rgb="FF33CCCC"/>
      <rgbColor rgb="FF99CC00"/>
      <rgbColor rgb="FFFFCC00"/>
      <rgbColor rgb="FFFF9900"/>
      <rgbColor rgb="FFFF6600"/>
      <rgbColor rgb="FF5E4A78"/>
      <rgbColor rgb="FFC4A35A"/>
      <rgbColor rgb="FF2A1F3D"/>
      <rgbColor rgb="FF339966"/>
      <rgbColor rgb="FF1A4731"/>
      <rgbColor rgb="FF1C1B18"/>
      <rgbColor rgb="FF993300"/>
      <rgbColor rgb="FF993366"/>
      <rgbColor rgb="FF333399"/>
      <rgbColor rgb="FF3A2D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8" min="2" style="0" width="22"/>
    <col collapsed="false" customWidth="true" hidden="false" outlineLevel="0" max="9" min="9" style="0" width="4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3" customFormat="false" ht="29.15" hidden="false" customHeight="false" outlineLevel="0" collapsed="false">
      <c r="B3" s="2" t="s">
        <v>0</v>
      </c>
    </row>
    <row r="4" customFormat="false" ht="17.35" hidden="false" customHeight="false" outlineLevel="0" collapsed="false">
      <c r="B4" s="3" t="s">
        <v>1</v>
      </c>
    </row>
    <row r="5" customFormat="false" ht="15" hidden="false" customHeight="false" outlineLevel="0" collapsed="false">
      <c r="B5" s="4" t="s">
        <v>2</v>
      </c>
    </row>
    <row r="7" customFormat="false" ht="27.75" hidden="false" customHeight="true" outlineLevel="0" collapsed="false">
      <c r="B7" s="5" t="s">
        <v>3</v>
      </c>
      <c r="C7" s="5"/>
      <c r="D7" s="5"/>
      <c r="E7" s="5"/>
      <c r="F7" s="5"/>
      <c r="G7" s="5"/>
      <c r="H7" s="5"/>
    </row>
    <row r="10" customFormat="false" ht="17.35" hidden="false" customHeight="false" outlineLevel="0" collapsed="false">
      <c r="B10" s="6" t="s">
        <v>4</v>
      </c>
    </row>
    <row r="12" customFormat="false" ht="21.75" hidden="false" customHeight="true" outlineLevel="0" collapsed="false">
      <c r="B12" s="7" t="s">
        <v>5</v>
      </c>
      <c r="C12" s="8" t="s">
        <v>6</v>
      </c>
      <c r="D12" s="9" t="s">
        <v>7</v>
      </c>
      <c r="E12" s="9"/>
      <c r="F12" s="9"/>
      <c r="G12" s="9"/>
      <c r="H12" s="9"/>
    </row>
    <row r="13" customFormat="false" ht="19.5" hidden="false" customHeight="true" outlineLevel="0" collapsed="false">
      <c r="B13" s="10" t="s">
        <v>8</v>
      </c>
      <c r="C13" s="11" t="s">
        <v>9</v>
      </c>
      <c r="D13" s="12" t="s">
        <v>10</v>
      </c>
      <c r="E13" s="12"/>
      <c r="F13" s="12"/>
      <c r="G13" s="12"/>
      <c r="H13" s="12"/>
    </row>
    <row r="14" customFormat="false" ht="19.5" hidden="false" customHeight="true" outlineLevel="0" collapsed="false">
      <c r="B14" s="10" t="s">
        <v>11</v>
      </c>
      <c r="C14" s="11" t="s">
        <v>12</v>
      </c>
      <c r="D14" s="12" t="s">
        <v>13</v>
      </c>
      <c r="E14" s="12"/>
      <c r="F14" s="12"/>
      <c r="G14" s="12"/>
      <c r="H14" s="12"/>
    </row>
    <row r="15" customFormat="false" ht="19.5" hidden="false" customHeight="true" outlineLevel="0" collapsed="false">
      <c r="B15" s="10" t="s">
        <v>14</v>
      </c>
      <c r="C15" s="11" t="s">
        <v>15</v>
      </c>
      <c r="D15" s="12" t="s">
        <v>16</v>
      </c>
      <c r="E15" s="12"/>
      <c r="F15" s="12"/>
      <c r="G15" s="12"/>
      <c r="H15" s="12"/>
    </row>
    <row r="16" customFormat="false" ht="19.5" hidden="false" customHeight="true" outlineLevel="0" collapsed="false">
      <c r="B16" s="10" t="s">
        <v>17</v>
      </c>
      <c r="C16" s="11" t="s">
        <v>18</v>
      </c>
      <c r="D16" s="12" t="s">
        <v>19</v>
      </c>
      <c r="E16" s="12"/>
      <c r="F16" s="12"/>
      <c r="G16" s="12"/>
      <c r="H16" s="12"/>
    </row>
    <row r="17" customFormat="false" ht="19.5" hidden="false" customHeight="true" outlineLevel="0" collapsed="false">
      <c r="B17" s="10" t="s">
        <v>20</v>
      </c>
      <c r="C17" s="11" t="s">
        <v>21</v>
      </c>
      <c r="D17" s="12" t="s">
        <v>22</v>
      </c>
      <c r="E17" s="12"/>
      <c r="F17" s="12"/>
      <c r="G17" s="12"/>
      <c r="H17" s="12"/>
    </row>
    <row r="18" customFormat="false" ht="19.5" hidden="false" customHeight="true" outlineLevel="0" collapsed="false">
      <c r="B18" s="10" t="s">
        <v>23</v>
      </c>
      <c r="C18" s="11" t="s">
        <v>24</v>
      </c>
      <c r="D18" s="12" t="s">
        <v>25</v>
      </c>
      <c r="E18" s="12"/>
      <c r="F18" s="12"/>
      <c r="G18" s="12"/>
      <c r="H18" s="12"/>
    </row>
    <row r="19" customFormat="false" ht="19.5" hidden="false" customHeight="true" outlineLevel="0" collapsed="false">
      <c r="B19" s="10" t="s">
        <v>26</v>
      </c>
      <c r="C19" s="11" t="s">
        <v>27</v>
      </c>
      <c r="D19" s="12" t="s">
        <v>28</v>
      </c>
      <c r="E19" s="12"/>
      <c r="F19" s="12"/>
      <c r="G19" s="12"/>
      <c r="H19" s="12"/>
    </row>
    <row r="22" customFormat="false" ht="17.35" hidden="false" customHeight="false" outlineLevel="0" collapsed="false">
      <c r="B22" s="6" t="s">
        <v>29</v>
      </c>
    </row>
    <row r="24" customFormat="false" ht="18" hidden="false" customHeight="true" outlineLevel="0" collapsed="false">
      <c r="B24" s="13" t="s">
        <v>30</v>
      </c>
      <c r="C24" s="13"/>
      <c r="D24" s="13"/>
      <c r="E24" s="13"/>
      <c r="F24" s="13"/>
      <c r="G24" s="13"/>
      <c r="H24" s="13"/>
    </row>
    <row r="25" customFormat="false" ht="18" hidden="false" customHeight="true" outlineLevel="0" collapsed="false">
      <c r="B25" s="13" t="s">
        <v>31</v>
      </c>
      <c r="C25" s="13"/>
      <c r="D25" s="13"/>
      <c r="E25" s="13"/>
      <c r="F25" s="13"/>
      <c r="G25" s="13"/>
      <c r="H25" s="13"/>
    </row>
    <row r="26" customFormat="false" ht="18" hidden="false" customHeight="true" outlineLevel="0" collapsed="false">
      <c r="B26" s="13" t="s">
        <v>32</v>
      </c>
      <c r="C26" s="13"/>
      <c r="D26" s="13"/>
      <c r="E26" s="13"/>
      <c r="F26" s="13"/>
      <c r="G26" s="13"/>
      <c r="H26" s="13"/>
    </row>
    <row r="27" customFormat="false" ht="18" hidden="false" customHeight="true" outlineLevel="0" collapsed="false">
      <c r="B27" s="13" t="s">
        <v>33</v>
      </c>
      <c r="C27" s="13"/>
      <c r="D27" s="13"/>
      <c r="E27" s="13"/>
      <c r="F27" s="13"/>
      <c r="G27" s="13"/>
      <c r="H27" s="13"/>
    </row>
    <row r="28" customFormat="false" ht="18" hidden="false" customHeight="true" outlineLevel="0" collapsed="false">
      <c r="B28" s="13" t="s">
        <v>34</v>
      </c>
      <c r="C28" s="13"/>
      <c r="D28" s="13"/>
      <c r="E28" s="13"/>
      <c r="F28" s="13"/>
      <c r="G28" s="13"/>
      <c r="H28" s="13"/>
    </row>
    <row r="35" customFormat="false" ht="15" hidden="false" customHeight="true" outlineLevel="0" collapsed="false">
      <c r="B35" s="14" t="s">
        <v>35</v>
      </c>
      <c r="C35" s="14"/>
      <c r="D35" s="14"/>
      <c r="E35" s="14"/>
      <c r="F35" s="14"/>
      <c r="G35" s="14"/>
      <c r="H35" s="14"/>
    </row>
    <row r="37" customFormat="false" ht="6" hidden="false" customHeight="true" outlineLevel="0" collapsed="false">
      <c r="A37" s="15"/>
      <c r="B37" s="15"/>
      <c r="C37" s="15"/>
      <c r="D37" s="15"/>
      <c r="E37" s="15"/>
      <c r="F37" s="15"/>
      <c r="G37" s="15"/>
      <c r="H37" s="15"/>
      <c r="I37" s="15"/>
    </row>
  </sheetData>
  <mergeCells count="15">
    <mergeCell ref="B7:H7"/>
    <mergeCell ref="D12:H12"/>
    <mergeCell ref="D13:H13"/>
    <mergeCell ref="D14:H14"/>
    <mergeCell ref="D15:H15"/>
    <mergeCell ref="D16:H16"/>
    <mergeCell ref="D17:H17"/>
    <mergeCell ref="D18:H18"/>
    <mergeCell ref="D19:H19"/>
    <mergeCell ref="B24:H24"/>
    <mergeCell ref="B25:H25"/>
    <mergeCell ref="B26:H26"/>
    <mergeCell ref="B27:H27"/>
    <mergeCell ref="B28:H28"/>
    <mergeCell ref="B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4"/>
    <col collapsed="false" customWidth="true" hidden="false" outlineLevel="0" max="8" min="8" style="0" width="16"/>
    <col collapsed="false" customWidth="true" hidden="false" outlineLevel="0" max="9" min="9" style="0" width="2"/>
  </cols>
  <sheetData>
    <row r="1" customFormat="false" ht="21.75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26.8" hidden="false" customHeight="true" outlineLevel="0" collapsed="false">
      <c r="B3" s="17" t="s">
        <v>37</v>
      </c>
      <c r="C3" s="17"/>
      <c r="D3" s="17"/>
      <c r="E3" s="17"/>
      <c r="F3" s="17"/>
      <c r="G3" s="17"/>
      <c r="H3" s="17"/>
    </row>
    <row r="5" customFormat="false" ht="17.35" hidden="false" customHeight="false" outlineLevel="0" collapsed="false">
      <c r="B5" s="6" t="s">
        <v>38</v>
      </c>
    </row>
    <row r="7" customFormat="false" ht="15.75" hidden="false" customHeight="true" outlineLevel="0" collapsed="false">
      <c r="B7" s="18" t="s">
        <v>39</v>
      </c>
      <c r="C7" s="18"/>
      <c r="D7" s="18" t="s">
        <v>40</v>
      </c>
      <c r="E7" s="18"/>
      <c r="F7" s="19" t="s">
        <v>41</v>
      </c>
      <c r="G7" s="19"/>
      <c r="H7" s="20" t="s">
        <v>42</v>
      </c>
      <c r="I7" s="20"/>
    </row>
    <row r="8" customFormat="false" ht="31.5" hidden="false" customHeight="true" outlineLevel="0" collapsed="false">
      <c r="B8" s="21" t="n">
        <v>245.8</v>
      </c>
      <c r="C8" s="21"/>
      <c r="D8" s="22" t="n">
        <v>0.194</v>
      </c>
      <c r="E8" s="22"/>
      <c r="F8" s="23" t="n">
        <v>8.2</v>
      </c>
      <c r="G8" s="23"/>
      <c r="H8" s="24" t="n">
        <v>61</v>
      </c>
      <c r="I8" s="24"/>
    </row>
    <row r="9" customFormat="false" ht="15.75" hidden="false" customHeight="true" outlineLevel="0" collapsed="false">
      <c r="B9" s="25" t="s">
        <v>43</v>
      </c>
      <c r="C9" s="25"/>
      <c r="D9" s="25" t="s">
        <v>44</v>
      </c>
      <c r="E9" s="25"/>
      <c r="F9" s="26" t="s">
        <v>45</v>
      </c>
      <c r="G9" s="26"/>
      <c r="H9" s="27" t="s">
        <v>46</v>
      </c>
      <c r="I9" s="27"/>
    </row>
    <row r="10" customFormat="false" ht="15.75" hidden="false" customHeight="true" outlineLevel="0" collapsed="false">
      <c r="B10" s="28" t="s">
        <v>47</v>
      </c>
      <c r="C10" s="28"/>
      <c r="D10" s="28" t="s">
        <v>48</v>
      </c>
      <c r="E10" s="28"/>
      <c r="F10" s="29" t="s">
        <v>49</v>
      </c>
      <c r="G10" s="29"/>
      <c r="H10" s="30" t="s">
        <v>50</v>
      </c>
      <c r="I10" s="30"/>
    </row>
    <row r="14" customFormat="false" ht="17.35" hidden="false" customHeight="false" outlineLevel="0" collapsed="false">
      <c r="B14" s="6" t="s">
        <v>51</v>
      </c>
    </row>
    <row r="16" customFormat="false" ht="27.75" hidden="false" customHeight="true" outlineLevel="0" collapsed="false">
      <c r="B16" s="31" t="s">
        <v>52</v>
      </c>
      <c r="C16" s="31" t="s">
        <v>53</v>
      </c>
      <c r="D16" s="31" t="s">
        <v>54</v>
      </c>
      <c r="E16" s="31" t="s">
        <v>55</v>
      </c>
      <c r="F16" s="31" t="s">
        <v>56</v>
      </c>
      <c r="G16" s="31" t="s">
        <v>57</v>
      </c>
      <c r="H16" s="31" t="s">
        <v>58</v>
      </c>
    </row>
    <row r="17" customFormat="false" ht="15" hidden="false" customHeight="false" outlineLevel="0" collapsed="false">
      <c r="B17" s="32" t="s">
        <v>59</v>
      </c>
      <c r="C17" s="33" t="n">
        <v>82.4</v>
      </c>
      <c r="D17" s="33" t="n">
        <v>80.6</v>
      </c>
      <c r="E17" s="33" t="n">
        <v>82.8</v>
      </c>
      <c r="F17" s="33" t="n">
        <f aca="false">SUM(C17:E17)</f>
        <v>245.8</v>
      </c>
      <c r="G17" s="33" t="n">
        <v>220</v>
      </c>
      <c r="H17" s="34" t="n">
        <f aca="false">IFERROR((F17-G17)/ABS(G17),"-")</f>
        <v>0.117272727272727</v>
      </c>
    </row>
    <row r="18" customFormat="false" ht="15" hidden="false" customHeight="false" outlineLevel="0" collapsed="false">
      <c r="B18" s="35" t="s">
        <v>60</v>
      </c>
      <c r="C18" s="36" t="n">
        <v>-38.1</v>
      </c>
      <c r="D18" s="36" t="n">
        <v>-37.9</v>
      </c>
      <c r="E18" s="36" t="n">
        <v>-39.4</v>
      </c>
      <c r="F18" s="36" t="n">
        <f aca="false">SUM(C18:E18)</f>
        <v>-115.4</v>
      </c>
      <c r="G18" s="36" t="n">
        <v>-101.5</v>
      </c>
      <c r="H18" s="37" t="n">
        <f aca="false">IFERROR((F18-G18)/ABS(G18),"-")</f>
        <v>-0.136945812807882</v>
      </c>
    </row>
    <row r="19" customFormat="false" ht="15" hidden="false" customHeight="false" outlineLevel="0" collapsed="false">
      <c r="B19" s="38" t="s">
        <v>61</v>
      </c>
      <c r="C19" s="39" t="n">
        <f aca="false">C17+C18</f>
        <v>44.3</v>
      </c>
      <c r="D19" s="39" t="n">
        <f aca="false">D17+D18</f>
        <v>42.7</v>
      </c>
      <c r="E19" s="39" t="n">
        <f aca="false">E17+E18</f>
        <v>43.4</v>
      </c>
      <c r="F19" s="39" t="n">
        <f aca="false">SUM(C19:E19)</f>
        <v>130.4</v>
      </c>
      <c r="G19" s="39" t="n">
        <f aca="false">G17+G18</f>
        <v>118.5</v>
      </c>
      <c r="H19" s="40" t="n">
        <f aca="false">IFERROR((F19-G19)/ABS(G19),"-")</f>
        <v>0.10042194092827</v>
      </c>
    </row>
    <row r="20" customFormat="false" ht="15" hidden="false" customHeight="false" outlineLevel="0" collapsed="false">
      <c r="B20" s="35" t="s">
        <v>62</v>
      </c>
      <c r="C20" s="36" t="n">
        <v>-27.4</v>
      </c>
      <c r="D20" s="36" t="n">
        <v>-28.2</v>
      </c>
      <c r="E20" s="36" t="n">
        <v>-27</v>
      </c>
      <c r="F20" s="36" t="n">
        <f aca="false">SUM(C20:E20)</f>
        <v>-82.6</v>
      </c>
      <c r="G20" s="36" t="n">
        <v>-82</v>
      </c>
      <c r="H20" s="37" t="n">
        <f aca="false">IFERROR((F20-G20)/ABS(G20),"-")</f>
        <v>-0.00731707317073164</v>
      </c>
    </row>
    <row r="21" customFormat="false" ht="15" hidden="false" customHeight="false" outlineLevel="0" collapsed="false">
      <c r="B21" s="38" t="s">
        <v>63</v>
      </c>
      <c r="C21" s="39" t="n">
        <f aca="false">C19+C20</f>
        <v>16.9</v>
      </c>
      <c r="D21" s="39" t="n">
        <f aca="false">D19+D20</f>
        <v>14.5</v>
      </c>
      <c r="E21" s="39" t="n">
        <f aca="false">E19+E20</f>
        <v>16.4</v>
      </c>
      <c r="F21" s="39" t="n">
        <f aca="false">SUM(C21:E21)</f>
        <v>47.8</v>
      </c>
      <c r="G21" s="39" t="n">
        <f aca="false">G19+G20</f>
        <v>36.5</v>
      </c>
      <c r="H21" s="40" t="n">
        <f aca="false">IFERROR((F21-G21)/ABS(G21),"-")</f>
        <v>0.30958904109589</v>
      </c>
    </row>
    <row r="22" customFormat="false" ht="15" hidden="false" customHeight="false" outlineLevel="0" collapsed="false">
      <c r="B22" s="35" t="s">
        <v>64</v>
      </c>
      <c r="C22" s="36" t="n">
        <v>-1.2</v>
      </c>
      <c r="D22" s="36" t="n">
        <v>-1.2</v>
      </c>
      <c r="E22" s="36" t="n">
        <v>-1.4</v>
      </c>
      <c r="F22" s="36" t="n">
        <f aca="false">SUM(C22:E22)</f>
        <v>-3.8</v>
      </c>
      <c r="G22" s="36" t="n">
        <v>-3.4</v>
      </c>
      <c r="H22" s="37" t="n">
        <f aca="false">IFERROR((F22-G22)/ABS(G22),"-")</f>
        <v>-0.117647058823529</v>
      </c>
    </row>
    <row r="23" customFormat="false" ht="15" hidden="false" customHeight="false" outlineLevel="0" collapsed="false">
      <c r="B23" s="41" t="s">
        <v>65</v>
      </c>
      <c r="C23" s="33" t="n">
        <v>-2.4</v>
      </c>
      <c r="D23" s="33" t="n">
        <v>-2.6</v>
      </c>
      <c r="E23" s="33" t="n">
        <v>-2.8</v>
      </c>
      <c r="F23" s="33" t="n">
        <f aca="false">SUM(C23:E23)</f>
        <v>-7.8</v>
      </c>
      <c r="G23" s="33" t="n">
        <v>-7.6</v>
      </c>
      <c r="H23" s="34" t="n">
        <f aca="false">IFERROR((F23-G23)/ABS(G23),"-")</f>
        <v>-0.0263157894736842</v>
      </c>
    </row>
    <row r="24" customFormat="false" ht="15" hidden="false" customHeight="false" outlineLevel="0" collapsed="false">
      <c r="B24" s="38" t="s">
        <v>66</v>
      </c>
      <c r="C24" s="39" t="n">
        <f aca="false">C21+C22+C23</f>
        <v>13.3</v>
      </c>
      <c r="D24" s="39" t="n">
        <f aca="false">D21+D22+D23</f>
        <v>10.7</v>
      </c>
      <c r="E24" s="39" t="n">
        <f aca="false">E21+E22+E23</f>
        <v>12.2</v>
      </c>
      <c r="F24" s="39" t="n">
        <f aca="false">SUM(C24:E24)</f>
        <v>36.2</v>
      </c>
      <c r="G24" s="39" t="n">
        <f aca="false">G21+G22+G23</f>
        <v>25.5</v>
      </c>
      <c r="H24" s="40" t="n">
        <f aca="false">IFERROR((F24-G24)/ABS(G24),"-")</f>
        <v>0.419607843137255</v>
      </c>
    </row>
    <row r="27" customFormat="false" ht="17.35" hidden="false" customHeight="false" outlineLevel="0" collapsed="false">
      <c r="B27" s="42" t="s">
        <v>67</v>
      </c>
      <c r="C27" s="42"/>
      <c r="D27" s="42"/>
      <c r="E27" s="42"/>
      <c r="F27" s="42"/>
      <c r="G27" s="42"/>
      <c r="H27" s="42"/>
    </row>
    <row r="28" customFormat="false" ht="18" hidden="false" customHeight="true" outlineLevel="0" collapsed="false">
      <c r="B28" s="43" t="s">
        <v>68</v>
      </c>
      <c r="C28" s="43"/>
      <c r="D28" s="43"/>
      <c r="E28" s="43"/>
      <c r="F28" s="43"/>
      <c r="G28" s="43"/>
      <c r="H28" s="43"/>
    </row>
    <row r="29" customFormat="false" ht="18" hidden="false" customHeight="true" outlineLevel="0" collapsed="false">
      <c r="B29" s="43"/>
      <c r="C29" s="43"/>
      <c r="D29" s="43"/>
      <c r="E29" s="43"/>
      <c r="F29" s="43"/>
      <c r="G29" s="43"/>
      <c r="H29" s="43"/>
    </row>
    <row r="30" customFormat="false" ht="18" hidden="false" customHeight="true" outlineLevel="0" collapsed="false">
      <c r="B30" s="43"/>
      <c r="C30" s="43"/>
      <c r="D30" s="43"/>
      <c r="E30" s="43"/>
      <c r="F30" s="43"/>
      <c r="G30" s="43"/>
      <c r="H30" s="43"/>
    </row>
  </sheetData>
  <mergeCells count="20">
    <mergeCell ref="A1:L1"/>
    <mergeCell ref="B3:H3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27:H27"/>
    <mergeCell ref="B28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8" min="3" style="0" width="12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21.75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26.8" hidden="false" customHeight="false" outlineLevel="0" collapsed="false">
      <c r="B3" s="44" t="s">
        <v>69</v>
      </c>
      <c r="C3" s="44"/>
      <c r="D3" s="44"/>
      <c r="E3" s="44"/>
      <c r="F3" s="44"/>
      <c r="G3" s="44"/>
      <c r="H3" s="44"/>
    </row>
    <row r="5" customFormat="false" ht="27.75" hidden="false" customHeight="true" outlineLevel="0" collapsed="false">
      <c r="B5" s="31" t="s">
        <v>70</v>
      </c>
      <c r="C5" s="31" t="s">
        <v>53</v>
      </c>
      <c r="D5" s="31" t="s">
        <v>54</v>
      </c>
      <c r="E5" s="31" t="s">
        <v>55</v>
      </c>
      <c r="F5" s="31" t="s">
        <v>56</v>
      </c>
      <c r="G5" s="31" t="s">
        <v>71</v>
      </c>
      <c r="H5" s="31" t="s">
        <v>57</v>
      </c>
      <c r="I5" s="31" t="s">
        <v>72</v>
      </c>
    </row>
    <row r="6" customFormat="false" ht="15" hidden="false" customHeight="false" outlineLevel="0" collapsed="false">
      <c r="B6" s="45" t="s">
        <v>73</v>
      </c>
      <c r="C6" s="46"/>
      <c r="D6" s="46"/>
      <c r="E6" s="46"/>
      <c r="F6" s="46"/>
      <c r="G6" s="46"/>
      <c r="H6" s="46"/>
      <c r="I6" s="46"/>
    </row>
    <row r="7" customFormat="false" ht="15" hidden="false" customHeight="false" outlineLevel="0" collapsed="false">
      <c r="B7" s="47" t="s">
        <v>74</v>
      </c>
      <c r="C7" s="48" t="n">
        <v>38.4</v>
      </c>
      <c r="D7" s="48" t="n">
        <v>36.8</v>
      </c>
      <c r="E7" s="48" t="n">
        <v>39.2</v>
      </c>
      <c r="F7" s="49" t="n">
        <f aca="false">SUM(C7:E7)</f>
        <v>114.4</v>
      </c>
      <c r="G7" s="48" t="n">
        <v>110</v>
      </c>
      <c r="H7" s="48" t="n">
        <v>96.5</v>
      </c>
      <c r="I7" s="50" t="n">
        <f aca="false">IFERROR((F7-G7)/ABS(G7),"-")</f>
        <v>0.0399999999999999</v>
      </c>
    </row>
    <row r="8" customFormat="false" ht="15" hidden="false" customHeight="false" outlineLevel="0" collapsed="false">
      <c r="B8" s="51" t="s">
        <v>75</v>
      </c>
      <c r="C8" s="52" t="n">
        <v>22.6</v>
      </c>
      <c r="D8" s="52" t="n">
        <v>24</v>
      </c>
      <c r="E8" s="52" t="n">
        <v>23.4</v>
      </c>
      <c r="F8" s="53" t="n">
        <f aca="false">SUM(C8:E8)</f>
        <v>70</v>
      </c>
      <c r="G8" s="52" t="n">
        <v>68</v>
      </c>
      <c r="H8" s="52" t="n">
        <v>62.4</v>
      </c>
      <c r="I8" s="54" t="n">
        <f aca="false">IFERROR((F8-G8)/ABS(G8),"-")</f>
        <v>0.0294117647058824</v>
      </c>
    </row>
    <row r="9" customFormat="false" ht="15" hidden="false" customHeight="false" outlineLevel="0" collapsed="false">
      <c r="B9" s="47" t="s">
        <v>76</v>
      </c>
      <c r="C9" s="48" t="n">
        <v>16.8</v>
      </c>
      <c r="D9" s="48" t="n">
        <v>16.8</v>
      </c>
      <c r="E9" s="48" t="n">
        <v>16.8</v>
      </c>
      <c r="F9" s="49" t="n">
        <f aca="false">SUM(C9:E9)</f>
        <v>50.4</v>
      </c>
      <c r="G9" s="48" t="n">
        <v>50</v>
      </c>
      <c r="H9" s="48" t="n">
        <v>48</v>
      </c>
      <c r="I9" s="50" t="n">
        <f aca="false">IFERROR((F9-G9)/ABS(G9),"-")</f>
        <v>0.00800000000000011</v>
      </c>
    </row>
    <row r="10" customFormat="false" ht="15" hidden="false" customHeight="false" outlineLevel="0" collapsed="false">
      <c r="B10" s="51" t="s">
        <v>77</v>
      </c>
      <c r="C10" s="52" t="n">
        <v>4.6</v>
      </c>
      <c r="D10" s="52" t="n">
        <v>3</v>
      </c>
      <c r="E10" s="52" t="n">
        <v>3.4</v>
      </c>
      <c r="F10" s="53" t="n">
        <f aca="false">SUM(C10:E10)</f>
        <v>11</v>
      </c>
      <c r="G10" s="52" t="n">
        <v>12</v>
      </c>
      <c r="H10" s="52" t="n">
        <v>13.1</v>
      </c>
      <c r="I10" s="54" t="n">
        <f aca="false">IFERROR((F10-G10)/ABS(G10),"-")</f>
        <v>-0.0833333333333333</v>
      </c>
    </row>
    <row r="11" customFormat="false" ht="15" hidden="false" customHeight="false" outlineLevel="0" collapsed="false">
      <c r="B11" s="55" t="s">
        <v>78</v>
      </c>
      <c r="C11" s="56" t="n">
        <f aca="false">SUM(C7:C10)</f>
        <v>82.4</v>
      </c>
      <c r="D11" s="56" t="n">
        <f aca="false">SUM(D7:D10)</f>
        <v>80.6</v>
      </c>
      <c r="E11" s="56" t="n">
        <f aca="false">SUM(E7:E10)</f>
        <v>82.8</v>
      </c>
      <c r="F11" s="56" t="n">
        <f aca="false">SUM(C11:E11)</f>
        <v>245.8</v>
      </c>
      <c r="G11" s="56" t="n">
        <f aca="false">SUM(G7:G10)</f>
        <v>240</v>
      </c>
      <c r="H11" s="56" t="n">
        <f aca="false">SUM(H7:H10)</f>
        <v>220</v>
      </c>
      <c r="I11" s="57" t="n">
        <f aca="false">IFERROR((F11-G11)/ABS(G11),"-")</f>
        <v>0.0241666666666667</v>
      </c>
    </row>
    <row r="13" customFormat="false" ht="15" hidden="false" customHeight="false" outlineLevel="0" collapsed="false">
      <c r="B13" s="45" t="s">
        <v>79</v>
      </c>
      <c r="C13" s="46"/>
      <c r="D13" s="46"/>
      <c r="E13" s="46"/>
      <c r="F13" s="46"/>
      <c r="G13" s="46"/>
      <c r="H13" s="46"/>
      <c r="I13" s="46"/>
    </row>
    <row r="14" customFormat="false" ht="15" hidden="false" customHeight="false" outlineLevel="0" collapsed="false">
      <c r="B14" s="51" t="s">
        <v>80</v>
      </c>
      <c r="C14" s="52" t="n">
        <v>-28.4</v>
      </c>
      <c r="D14" s="52" t="n">
        <v>-28.6</v>
      </c>
      <c r="E14" s="52" t="n">
        <v>-29.2</v>
      </c>
      <c r="F14" s="53" t="n">
        <f aca="false">SUM(C14:E14)</f>
        <v>-86.2</v>
      </c>
      <c r="G14" s="52" t="n">
        <v>-84</v>
      </c>
      <c r="H14" s="52" t="n">
        <v>-78</v>
      </c>
      <c r="I14" s="54" t="n">
        <f aca="false">IFERROR((F14-G14)/ABS(G14),"-")</f>
        <v>-0.0261904761904762</v>
      </c>
    </row>
    <row r="15" customFormat="false" ht="15" hidden="false" customHeight="false" outlineLevel="0" collapsed="false">
      <c r="B15" s="47" t="s">
        <v>81</v>
      </c>
      <c r="C15" s="48" t="n">
        <v>-6.8</v>
      </c>
      <c r="D15" s="48" t="n">
        <v>-6.4</v>
      </c>
      <c r="E15" s="48" t="n">
        <v>-7.2</v>
      </c>
      <c r="F15" s="49" t="n">
        <f aca="false">SUM(C15:E15)</f>
        <v>-20.4</v>
      </c>
      <c r="G15" s="48" t="n">
        <v>-22</v>
      </c>
      <c r="H15" s="48" t="n">
        <v>-18.5</v>
      </c>
      <c r="I15" s="50" t="n">
        <f aca="false">IFERROR((F15-G15)/ABS(G15),"-")</f>
        <v>0.0727272727272728</v>
      </c>
    </row>
    <row r="16" customFormat="false" ht="15" hidden="false" customHeight="false" outlineLevel="0" collapsed="false">
      <c r="B16" s="51" t="s">
        <v>82</v>
      </c>
      <c r="C16" s="52" t="n">
        <v>-2.9</v>
      </c>
      <c r="D16" s="52" t="n">
        <v>-2.9</v>
      </c>
      <c r="E16" s="52" t="n">
        <v>-3</v>
      </c>
      <c r="F16" s="53" t="n">
        <f aca="false">SUM(C16:E16)</f>
        <v>-8.8</v>
      </c>
      <c r="G16" s="52" t="n">
        <v>-8.5</v>
      </c>
      <c r="H16" s="52" t="n">
        <v>-8</v>
      </c>
      <c r="I16" s="54" t="n">
        <f aca="false">IFERROR((F16-G16)/ABS(G16),"-")</f>
        <v>-0.0352941176470589</v>
      </c>
    </row>
    <row r="17" customFormat="false" ht="15" hidden="false" customHeight="false" outlineLevel="0" collapsed="false">
      <c r="B17" s="55" t="s">
        <v>83</v>
      </c>
      <c r="C17" s="56" t="n">
        <f aca="false">SUM(C14:C16)</f>
        <v>-38.1</v>
      </c>
      <c r="D17" s="56" t="n">
        <f aca="false">SUM(D14:D16)</f>
        <v>-37.9</v>
      </c>
      <c r="E17" s="56" t="n">
        <f aca="false">SUM(E14:E16)</f>
        <v>-39.4</v>
      </c>
      <c r="F17" s="56" t="n">
        <f aca="false">SUM(C17:E17)</f>
        <v>-115.4</v>
      </c>
      <c r="G17" s="56" t="n">
        <f aca="false">SUM(G14:G16)</f>
        <v>-114.5</v>
      </c>
      <c r="H17" s="56" t="n">
        <f aca="false">SUM(H14:H16)</f>
        <v>-104.5</v>
      </c>
      <c r="I17" s="57" t="n">
        <f aca="false">IFERROR((F17-G17)/ABS(G17),"-")</f>
        <v>-0.00786026200873367</v>
      </c>
    </row>
    <row r="18" customFormat="false" ht="15" hidden="false" customHeight="false" outlineLevel="0" collapsed="false">
      <c r="B18" s="58" t="s">
        <v>61</v>
      </c>
      <c r="C18" s="59" t="n">
        <f aca="false">C11+C17</f>
        <v>44.3</v>
      </c>
      <c r="D18" s="59" t="n">
        <f aca="false">D11+D17</f>
        <v>42.7</v>
      </c>
      <c r="E18" s="59" t="n">
        <f aca="false">E11+E17</f>
        <v>43.4</v>
      </c>
      <c r="F18" s="59" t="n">
        <f aca="false">F11+F17</f>
        <v>130.4</v>
      </c>
      <c r="G18" s="59" t="n">
        <f aca="false">G11+G17</f>
        <v>125.5</v>
      </c>
      <c r="H18" s="59" t="n">
        <f aca="false">H11+H17</f>
        <v>115.5</v>
      </c>
      <c r="I18" s="60" t="n">
        <f aca="false">IFERROR((F18-G18)/ABS(G18),"-")</f>
        <v>0.0390438247011953</v>
      </c>
    </row>
    <row r="19" customFormat="false" ht="15" hidden="false" customHeight="false" outlineLevel="0" collapsed="false">
      <c r="B19" s="47" t="s">
        <v>84</v>
      </c>
      <c r="C19" s="50" t="n">
        <f aca="false">IFERROR(C18/C11,"-")</f>
        <v>0.537621359223301</v>
      </c>
      <c r="D19" s="50" t="n">
        <f aca="false">IFERROR(D18/D11,"-")</f>
        <v>0.529776674937965</v>
      </c>
      <c r="E19" s="50" t="n">
        <f aca="false">IFERROR(E18/E11,"-")</f>
        <v>0.524154589371981</v>
      </c>
      <c r="F19" s="50" t="n">
        <f aca="false">IFERROR(F18/F11,"-")</f>
        <v>0.530512611879577</v>
      </c>
      <c r="G19" s="50" t="n">
        <f aca="false">IFERROR(G18/G11,"-")</f>
        <v>0.522916666666667</v>
      </c>
      <c r="H19" s="50" t="n">
        <f aca="false">IFERROR(H18/H11,"-")</f>
        <v>0.525</v>
      </c>
    </row>
    <row r="21" customFormat="false" ht="15" hidden="false" customHeight="false" outlineLevel="0" collapsed="false">
      <c r="B21" s="45" t="s">
        <v>85</v>
      </c>
      <c r="C21" s="46"/>
      <c r="D21" s="46"/>
      <c r="E21" s="46"/>
      <c r="F21" s="46"/>
      <c r="G21" s="46"/>
      <c r="H21" s="46"/>
      <c r="I21" s="46"/>
    </row>
    <row r="22" customFormat="false" ht="15" hidden="false" customHeight="false" outlineLevel="0" collapsed="false">
      <c r="B22" s="51" t="s">
        <v>86</v>
      </c>
      <c r="C22" s="52" t="n">
        <v>-16.4</v>
      </c>
      <c r="D22" s="52" t="n">
        <v>-16.4</v>
      </c>
      <c r="E22" s="52" t="n">
        <v>-16.4</v>
      </c>
      <c r="F22" s="53" t="n">
        <f aca="false">SUM(C22:E22)</f>
        <v>-49.2</v>
      </c>
      <c r="G22" s="52" t="n">
        <v>-50</v>
      </c>
      <c r="H22" s="52" t="n">
        <v>-46.5</v>
      </c>
      <c r="I22" s="54" t="n">
        <f aca="false">IFERROR((F22-G22)/ABS(G22),"-")</f>
        <v>0.0160000000000001</v>
      </c>
    </row>
    <row r="23" customFormat="false" ht="15" hidden="false" customHeight="false" outlineLevel="0" collapsed="false">
      <c r="B23" s="47" t="s">
        <v>87</v>
      </c>
      <c r="C23" s="48" t="n">
        <v>-3.4</v>
      </c>
      <c r="D23" s="48" t="n">
        <v>-3.4</v>
      </c>
      <c r="E23" s="48" t="n">
        <v>-3.4</v>
      </c>
      <c r="F23" s="49" t="n">
        <f aca="false">SUM(C23:E23)</f>
        <v>-10.2</v>
      </c>
      <c r="G23" s="48" t="n">
        <v>-10.5</v>
      </c>
      <c r="H23" s="48" t="n">
        <v>-10</v>
      </c>
      <c r="I23" s="50" t="n">
        <f aca="false">IFERROR((F23-G23)/ABS(G23),"-")</f>
        <v>0.0285714285714286</v>
      </c>
    </row>
    <row r="24" customFormat="false" ht="15" hidden="false" customHeight="false" outlineLevel="0" collapsed="false">
      <c r="B24" s="51" t="s">
        <v>88</v>
      </c>
      <c r="C24" s="52" t="n">
        <v>-2.8</v>
      </c>
      <c r="D24" s="52" t="n">
        <v>-3.6</v>
      </c>
      <c r="E24" s="52" t="n">
        <v>-2.4</v>
      </c>
      <c r="F24" s="53" t="n">
        <f aca="false">SUM(C24:E24)</f>
        <v>-8.8</v>
      </c>
      <c r="G24" s="52" t="n">
        <v>-8</v>
      </c>
      <c r="H24" s="52" t="n">
        <v>-6.4</v>
      </c>
      <c r="I24" s="54" t="n">
        <f aca="false">IFERROR((F24-G24)/ABS(G24),"-")</f>
        <v>-0.1</v>
      </c>
    </row>
    <row r="25" customFormat="false" ht="15" hidden="false" customHeight="false" outlineLevel="0" collapsed="false">
      <c r="B25" s="47" t="s">
        <v>89</v>
      </c>
      <c r="C25" s="48" t="n">
        <v>-1.6</v>
      </c>
      <c r="D25" s="48" t="n">
        <v>-1.7</v>
      </c>
      <c r="E25" s="48" t="n">
        <v>-1.6</v>
      </c>
      <c r="F25" s="49" t="n">
        <f aca="false">SUM(C25:E25)</f>
        <v>-4.9</v>
      </c>
      <c r="G25" s="48" t="n">
        <v>-4.8</v>
      </c>
      <c r="H25" s="48" t="n">
        <v>-4.2</v>
      </c>
      <c r="I25" s="50" t="n">
        <f aca="false">IFERROR((F25-G25)/ABS(G25),"-")</f>
        <v>-0.0208333333333334</v>
      </c>
    </row>
    <row r="26" customFormat="false" ht="15" hidden="false" customHeight="false" outlineLevel="0" collapsed="false">
      <c r="B26" s="51" t="s">
        <v>90</v>
      </c>
      <c r="C26" s="52" t="n">
        <v>-0.9</v>
      </c>
      <c r="D26" s="52" t="n">
        <v>-0.9</v>
      </c>
      <c r="E26" s="52" t="n">
        <v>-0.9</v>
      </c>
      <c r="F26" s="53" t="n">
        <f aca="false">SUM(C26:E26)</f>
        <v>-2.7</v>
      </c>
      <c r="G26" s="52" t="n">
        <v>-2.6</v>
      </c>
      <c r="H26" s="52" t="n">
        <v>-2.4</v>
      </c>
      <c r="I26" s="54" t="n">
        <f aca="false">IFERROR((F26-G26)/ABS(G26),"-")</f>
        <v>-0.0384615384615385</v>
      </c>
    </row>
    <row r="27" customFormat="false" ht="15" hidden="false" customHeight="false" outlineLevel="0" collapsed="false">
      <c r="B27" s="47" t="s">
        <v>91</v>
      </c>
      <c r="C27" s="48" t="n">
        <v>-2.3</v>
      </c>
      <c r="D27" s="48" t="n">
        <v>-2.2</v>
      </c>
      <c r="E27" s="48" t="n">
        <v>-2.3</v>
      </c>
      <c r="F27" s="49" t="n">
        <f aca="false">SUM(C27:E27)</f>
        <v>-6.8</v>
      </c>
      <c r="G27" s="48" t="n">
        <v>-6.5</v>
      </c>
      <c r="H27" s="48" t="n">
        <v>-6.2</v>
      </c>
      <c r="I27" s="50" t="n">
        <f aca="false">IFERROR((F27-G27)/ABS(G27),"-")</f>
        <v>-0.0461538461538461</v>
      </c>
    </row>
    <row r="28" customFormat="false" ht="15" hidden="false" customHeight="false" outlineLevel="0" collapsed="false">
      <c r="B28" s="55" t="s">
        <v>92</v>
      </c>
      <c r="C28" s="56" t="n">
        <f aca="false">SUM(C22:C27)</f>
        <v>-27.4</v>
      </c>
      <c r="D28" s="56" t="n">
        <f aca="false">SUM(D22:D27)</f>
        <v>-28.2</v>
      </c>
      <c r="E28" s="56" t="n">
        <f aca="false">SUM(E22:E27)</f>
        <v>-27</v>
      </c>
      <c r="F28" s="56" t="n">
        <f aca="false">SUM(C28:E28)</f>
        <v>-82.6</v>
      </c>
      <c r="G28" s="56" t="n">
        <f aca="false">SUM(G22:G27)</f>
        <v>-82.4</v>
      </c>
      <c r="H28" s="56" t="n">
        <f aca="false">SUM(H22:H27)</f>
        <v>-75.7</v>
      </c>
      <c r="I28" s="57" t="n">
        <f aca="false">IFERROR((F28-G28)/ABS(G28),"-")</f>
        <v>-0.00242718446601928</v>
      </c>
    </row>
    <row r="29" customFormat="false" ht="15" hidden="false" customHeight="false" outlineLevel="0" collapsed="false">
      <c r="B29" s="58" t="s">
        <v>63</v>
      </c>
      <c r="C29" s="59" t="n">
        <f aca="false">C18+C28</f>
        <v>16.9</v>
      </c>
      <c r="D29" s="59" t="n">
        <f aca="false">D18+D28</f>
        <v>14.5</v>
      </c>
      <c r="E29" s="59" t="n">
        <f aca="false">E18+E28</f>
        <v>16.4</v>
      </c>
      <c r="F29" s="59" t="n">
        <f aca="false">F18+F28</f>
        <v>47.8</v>
      </c>
      <c r="G29" s="59" t="n">
        <f aca="false">G18+G28</f>
        <v>43.1</v>
      </c>
      <c r="H29" s="59" t="n">
        <f aca="false">H18+H28</f>
        <v>39.8</v>
      </c>
      <c r="I29" s="60" t="n">
        <f aca="false">IFERROR((F29-G29)/ABS(G29),"-")</f>
        <v>0.109048723897912</v>
      </c>
    </row>
    <row r="30" customFormat="false" ht="15" hidden="false" customHeight="false" outlineLevel="0" collapsed="false">
      <c r="B30" s="47" t="s">
        <v>93</v>
      </c>
      <c r="C30" s="50" t="n">
        <f aca="false">IFERROR(C29/C11,"-")</f>
        <v>0.205097087378641</v>
      </c>
      <c r="D30" s="50" t="n">
        <f aca="false">IFERROR(D29/D11,"-")</f>
        <v>0.179900744416873</v>
      </c>
      <c r="E30" s="50" t="n">
        <f aca="false">IFERROR(E29/E11,"-")</f>
        <v>0.198067632850242</v>
      </c>
      <c r="F30" s="50" t="n">
        <f aca="false">IFERROR(F29/F11,"-")</f>
        <v>0.19446704637917</v>
      </c>
      <c r="G30" s="50" t="n">
        <f aca="false">IFERROR(G29/G11,"-")</f>
        <v>0.179583333333333</v>
      </c>
      <c r="H30" s="50" t="n">
        <f aca="false">IFERROR(H29/H11,"-")</f>
        <v>0.180909090909091</v>
      </c>
    </row>
    <row r="32" customFormat="false" ht="15" hidden="false" customHeight="false" outlineLevel="0" collapsed="false">
      <c r="B32" s="51" t="s">
        <v>94</v>
      </c>
      <c r="C32" s="52" t="n">
        <v>-1.6</v>
      </c>
      <c r="D32" s="52" t="n">
        <v>-1.6</v>
      </c>
      <c r="E32" s="52" t="n">
        <v>-1.6</v>
      </c>
      <c r="F32" s="53" t="n">
        <f aca="false">SUM(C32:E32)</f>
        <v>-4.8</v>
      </c>
      <c r="G32" s="52" t="n">
        <v>-5</v>
      </c>
      <c r="H32" s="52" t="n">
        <v>-4.6</v>
      </c>
      <c r="I32" s="54" t="n">
        <f aca="false">IFERROR((F32-G32)/ABS(G32),"-")</f>
        <v>0.0399999999999999</v>
      </c>
    </row>
    <row r="33" customFormat="false" ht="15" hidden="false" customHeight="false" outlineLevel="0" collapsed="false">
      <c r="B33" s="47" t="s">
        <v>64</v>
      </c>
      <c r="C33" s="48" t="n">
        <v>-1.2</v>
      </c>
      <c r="D33" s="48" t="n">
        <v>-1.2</v>
      </c>
      <c r="E33" s="48" t="n">
        <v>-1.4</v>
      </c>
      <c r="F33" s="49" t="n">
        <f aca="false">SUM(C33:E33)</f>
        <v>-3.8</v>
      </c>
      <c r="G33" s="48" t="n">
        <v>-3.6</v>
      </c>
      <c r="H33" s="48" t="n">
        <v>-3.4</v>
      </c>
      <c r="I33" s="50" t="n">
        <f aca="false">IFERROR((F33-G33)/ABS(G33),"-")</f>
        <v>-0.0555555555555555</v>
      </c>
    </row>
    <row r="34" customFormat="false" ht="15" hidden="false" customHeight="false" outlineLevel="0" collapsed="false">
      <c r="B34" s="55" t="s">
        <v>95</v>
      </c>
      <c r="C34" s="56" t="n">
        <f aca="false">C29+C32+C33</f>
        <v>14.1</v>
      </c>
      <c r="D34" s="56" t="n">
        <f aca="false">D29+D32+D33</f>
        <v>11.7</v>
      </c>
      <c r="E34" s="56" t="n">
        <f aca="false">E29+E32+E33</f>
        <v>13.4</v>
      </c>
      <c r="F34" s="56" t="n">
        <f aca="false">F29+F32+F33</f>
        <v>39.2</v>
      </c>
      <c r="G34" s="56" t="n">
        <f aca="false">G29+G32+G33</f>
        <v>34.5</v>
      </c>
      <c r="H34" s="56" t="n">
        <f aca="false">H29+H32+H33</f>
        <v>31.8</v>
      </c>
      <c r="I34" s="61" t="n">
        <f aca="false">IFERROR((F34-G34)/ABS(G34),"-")</f>
        <v>0.136231884057972</v>
      </c>
    </row>
    <row r="35" customFormat="false" ht="15" hidden="false" customHeight="false" outlineLevel="0" collapsed="false">
      <c r="B35" s="47" t="s">
        <v>65</v>
      </c>
      <c r="C35" s="48" t="n">
        <v>-2.4</v>
      </c>
      <c r="D35" s="48" t="n">
        <v>-2.6</v>
      </c>
      <c r="E35" s="48" t="n">
        <v>-2.8</v>
      </c>
      <c r="F35" s="49" t="n">
        <f aca="false">SUM(C35:E35)</f>
        <v>-7.8</v>
      </c>
      <c r="G35" s="48" t="n">
        <v>-8.5</v>
      </c>
      <c r="H35" s="48" t="n">
        <v>-7.6</v>
      </c>
      <c r="I35" s="50" t="n">
        <f aca="false">IFERROR((F35-G35)/ABS(G35),"-")</f>
        <v>0.0823529411764706</v>
      </c>
    </row>
    <row r="36" customFormat="false" ht="15" hidden="false" customHeight="false" outlineLevel="0" collapsed="false">
      <c r="B36" s="58" t="s">
        <v>66</v>
      </c>
      <c r="C36" s="59" t="n">
        <f aca="false">C34+C35</f>
        <v>11.7</v>
      </c>
      <c r="D36" s="59" t="n">
        <f aca="false">D34+D35</f>
        <v>9.1</v>
      </c>
      <c r="E36" s="59" t="n">
        <f aca="false">E34+E35</f>
        <v>10.6</v>
      </c>
      <c r="F36" s="59" t="n">
        <f aca="false">F34+F35</f>
        <v>31.4</v>
      </c>
      <c r="G36" s="59" t="n">
        <f aca="false">G34+G35</f>
        <v>26</v>
      </c>
      <c r="H36" s="59" t="n">
        <f aca="false">H34+H35</f>
        <v>24.2</v>
      </c>
      <c r="I36" s="62" t="n">
        <f aca="false">IFERROR((F36-G36)/ABS(G36),"-")</f>
        <v>0.207692307692309</v>
      </c>
    </row>
    <row r="37" customFormat="false" ht="15" hidden="false" customHeight="false" outlineLevel="0" collapsed="false">
      <c r="B37" s="47" t="s">
        <v>96</v>
      </c>
      <c r="C37" s="50" t="n">
        <f aca="false">IFERROR(C36/C11,"-")</f>
        <v>0.141990291262136</v>
      </c>
      <c r="D37" s="50" t="n">
        <f aca="false">IFERROR(D36/D11,"-")</f>
        <v>0.112903225806452</v>
      </c>
      <c r="E37" s="50" t="n">
        <f aca="false">IFERROR(E36/E11,"-")</f>
        <v>0.128019323671498</v>
      </c>
      <c r="F37" s="50" t="n">
        <f aca="false">IFERROR(F36/F11,"-")</f>
        <v>0.127746135069162</v>
      </c>
      <c r="G37" s="50" t="n">
        <f aca="false">IFERROR(G36/G11,"-")</f>
        <v>0.108333333333333</v>
      </c>
      <c r="H37" s="50" t="n">
        <f aca="false">IFERROR(H36/H11,"-")</f>
        <v>0.11</v>
      </c>
    </row>
  </sheetData>
  <mergeCells count="2">
    <mergeCell ref="A1:L1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6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26.8" hidden="false" customHeight="false" outlineLevel="0" collapsed="false">
      <c r="B3" s="44" t="s">
        <v>97</v>
      </c>
      <c r="C3" s="44"/>
      <c r="D3" s="44"/>
      <c r="E3" s="44"/>
      <c r="F3" s="44"/>
    </row>
    <row r="5" customFormat="false" ht="27.75" hidden="false" customHeight="true" outlineLevel="0" collapsed="false">
      <c r="B5" s="31" t="s">
        <v>70</v>
      </c>
      <c r="C5" s="31" t="s">
        <v>55</v>
      </c>
      <c r="D5" s="31" t="s">
        <v>98</v>
      </c>
      <c r="E5" s="31" t="s">
        <v>99</v>
      </c>
      <c r="F5" s="31" t="s">
        <v>100</v>
      </c>
    </row>
    <row r="6" customFormat="false" ht="15" hidden="false" customHeight="false" outlineLevel="0" collapsed="false">
      <c r="B6" s="63" t="s">
        <v>101</v>
      </c>
      <c r="C6" s="46"/>
      <c r="D6" s="46"/>
      <c r="E6" s="46"/>
      <c r="F6" s="46"/>
    </row>
    <row r="7" customFormat="false" ht="15" hidden="false" customHeight="false" outlineLevel="0" collapsed="false">
      <c r="B7" s="47" t="s">
        <v>102</v>
      </c>
      <c r="C7" s="48" t="n">
        <v>50</v>
      </c>
      <c r="D7" s="48" t="n">
        <v>50</v>
      </c>
      <c r="E7" s="48" t="n">
        <f aca="false">C7-D7</f>
        <v>0</v>
      </c>
      <c r="F7" s="50" t="n">
        <f aca="false">IFERROR((C7-D7)/ABS(D7),"-")</f>
        <v>0</v>
      </c>
    </row>
    <row r="8" customFormat="false" ht="15" hidden="false" customHeight="false" outlineLevel="0" collapsed="false">
      <c r="B8" s="51" t="s">
        <v>103</v>
      </c>
      <c r="C8" s="52" t="n">
        <v>165</v>
      </c>
      <c r="D8" s="52" t="n">
        <v>128.8</v>
      </c>
      <c r="E8" s="52" t="n">
        <f aca="false">C8-D8</f>
        <v>36.2</v>
      </c>
      <c r="F8" s="54" t="n">
        <f aca="false">IFERROR((C8-D8)/ABS(D8),"-")</f>
        <v>0.281055900621118</v>
      </c>
    </row>
    <row r="9" customFormat="false" ht="15" hidden="false" customHeight="false" outlineLevel="0" collapsed="false">
      <c r="B9" s="64" t="s">
        <v>104</v>
      </c>
      <c r="C9" s="56" t="n">
        <f aca="false">SUM(C7:C8)</f>
        <v>215</v>
      </c>
      <c r="D9" s="56" t="n">
        <f aca="false">SUM(D7:D8)</f>
        <v>178.8</v>
      </c>
      <c r="E9" s="56" t="n">
        <f aca="false">C9-D9</f>
        <v>36.2</v>
      </c>
      <c r="F9" s="57" t="n">
        <f aca="false">IFERROR((C9-D9)/ABS(D9),"-")</f>
        <v>0.202460850111857</v>
      </c>
    </row>
    <row r="11" customFormat="false" ht="15" hidden="false" customHeight="false" outlineLevel="0" collapsed="false">
      <c r="B11" s="47" t="s">
        <v>105</v>
      </c>
      <c r="C11" s="48" t="n">
        <v>56</v>
      </c>
      <c r="D11" s="48" t="n">
        <v>62</v>
      </c>
      <c r="E11" s="48" t="n">
        <f aca="false">C11-D11</f>
        <v>-6</v>
      </c>
      <c r="F11" s="50" t="n">
        <f aca="false">IFERROR((C11-D11)/ABS(D11),"-")</f>
        <v>-0.0967741935483871</v>
      </c>
    </row>
    <row r="12" customFormat="false" ht="15" hidden="false" customHeight="false" outlineLevel="0" collapsed="false">
      <c r="B12" s="51" t="s">
        <v>106</v>
      </c>
      <c r="C12" s="52" t="n">
        <v>42</v>
      </c>
      <c r="D12" s="52" t="n">
        <v>38</v>
      </c>
      <c r="E12" s="52" t="n">
        <f aca="false">C12-D12</f>
        <v>4</v>
      </c>
      <c r="F12" s="54" t="n">
        <f aca="false">IFERROR((C12-D12)/ABS(D12),"-")</f>
        <v>0.105263157894737</v>
      </c>
    </row>
    <row r="13" customFormat="false" ht="15" hidden="false" customHeight="false" outlineLevel="0" collapsed="false">
      <c r="B13" s="47" t="s">
        <v>107</v>
      </c>
      <c r="C13" s="48" t="n">
        <v>28</v>
      </c>
      <c r="D13" s="48" t="n">
        <v>32</v>
      </c>
      <c r="E13" s="48" t="n">
        <f aca="false">C13-D13</f>
        <v>-4</v>
      </c>
      <c r="F13" s="50" t="n">
        <f aca="false">IFERROR((C13-D13)/ABS(D13),"-")</f>
        <v>-0.125</v>
      </c>
    </row>
    <row r="14" customFormat="false" ht="15" hidden="false" customHeight="false" outlineLevel="0" collapsed="false">
      <c r="B14" s="51" t="s">
        <v>108</v>
      </c>
      <c r="C14" s="52" t="n">
        <v>18</v>
      </c>
      <c r="D14" s="52" t="n">
        <v>14</v>
      </c>
      <c r="E14" s="52" t="n">
        <f aca="false">C14-D14</f>
        <v>4</v>
      </c>
      <c r="F14" s="54" t="n">
        <f aca="false">IFERROR((C14-D14)/ABS(D14),"-")</f>
        <v>0.285714285714286</v>
      </c>
    </row>
    <row r="15" customFormat="false" ht="15" hidden="false" customHeight="false" outlineLevel="0" collapsed="false">
      <c r="B15" s="64" t="s">
        <v>109</v>
      </c>
      <c r="C15" s="56" t="n">
        <f aca="false">SUM(C11:C14)</f>
        <v>144</v>
      </c>
      <c r="D15" s="56" t="n">
        <f aca="false">SUM(D11:D14)</f>
        <v>146</v>
      </c>
      <c r="E15" s="56" t="n">
        <f aca="false">C15-D15</f>
        <v>-2</v>
      </c>
      <c r="F15" s="57" t="n">
        <f aca="false">IFERROR((C15-D15)/ABS(D15),"-")</f>
        <v>-0.0136986301369863</v>
      </c>
    </row>
    <row r="17" customFormat="false" ht="17.35" hidden="false" customHeight="false" outlineLevel="0" collapsed="false">
      <c r="B17" s="65" t="s">
        <v>110</v>
      </c>
      <c r="C17" s="66" t="n">
        <f aca="false">C9+C15</f>
        <v>359</v>
      </c>
      <c r="D17" s="66" t="n">
        <f aca="false">D9+D15</f>
        <v>324.8</v>
      </c>
      <c r="E17" s="66" t="n">
        <f aca="false">C17-D17</f>
        <v>34.2</v>
      </c>
      <c r="F17" s="67" t="n">
        <f aca="false">IFERROR((C17-D17)/ABS(D17),"-")</f>
        <v>0.105295566502463</v>
      </c>
    </row>
    <row r="19" customFormat="false" ht="15" hidden="false" customHeight="false" outlineLevel="0" collapsed="false">
      <c r="B19" s="63" t="s">
        <v>111</v>
      </c>
      <c r="C19" s="46"/>
      <c r="D19" s="46"/>
      <c r="E19" s="46"/>
      <c r="F19" s="46"/>
    </row>
    <row r="20" customFormat="false" ht="15" hidden="false" customHeight="false" outlineLevel="0" collapsed="false">
      <c r="B20" s="51" t="s">
        <v>112</v>
      </c>
      <c r="C20" s="52" t="n">
        <v>76.4</v>
      </c>
      <c r="D20" s="52" t="n">
        <v>78</v>
      </c>
      <c r="E20" s="52" t="n">
        <f aca="false">C20-D20</f>
        <v>-1.59999999999999</v>
      </c>
      <c r="F20" s="54" t="n">
        <f aca="false">IFERROR((C20-D20)/ABS(D20),"-")</f>
        <v>-0.0205128205128204</v>
      </c>
    </row>
    <row r="21" customFormat="false" ht="15" hidden="false" customHeight="false" outlineLevel="0" collapsed="false">
      <c r="B21" s="47" t="s">
        <v>113</v>
      </c>
      <c r="C21" s="48" t="n">
        <v>4.2</v>
      </c>
      <c r="D21" s="48" t="n">
        <v>4.6</v>
      </c>
      <c r="E21" s="48" t="n">
        <f aca="false">C21-D21</f>
        <v>-0.399999999999999</v>
      </c>
      <c r="F21" s="50" t="n">
        <f aca="false">IFERROR((C21-D21)/ABS(D21),"-")</f>
        <v>-0.0869565217391303</v>
      </c>
    </row>
    <row r="22" customFormat="false" ht="15" hidden="false" customHeight="false" outlineLevel="0" collapsed="false">
      <c r="B22" s="51" t="s">
        <v>114</v>
      </c>
      <c r="C22" s="52" t="n">
        <v>166.5</v>
      </c>
      <c r="D22" s="52" t="n">
        <v>127.1</v>
      </c>
      <c r="E22" s="52" t="n">
        <f aca="false">C22-D22</f>
        <v>39.4</v>
      </c>
      <c r="F22" s="54" t="n">
        <f aca="false">IFERROR((C22-D22)/ABS(D22),"-")</f>
        <v>0.309992132179386</v>
      </c>
    </row>
    <row r="23" customFormat="false" ht="15" hidden="false" customHeight="false" outlineLevel="0" collapsed="false">
      <c r="B23" s="68" t="s">
        <v>115</v>
      </c>
      <c r="C23" s="69" t="n">
        <v>38.4</v>
      </c>
      <c r="D23" s="69" t="n">
        <v>22.6</v>
      </c>
      <c r="E23" s="69" t="n">
        <f aca="false">C23-D23</f>
        <v>15.8</v>
      </c>
      <c r="F23" s="70" t="n">
        <f aca="false">IFERROR((C23-D23)/ABS(D23),"-")</f>
        <v>0.699115044247788</v>
      </c>
    </row>
    <row r="24" customFormat="false" ht="15" hidden="false" customHeight="false" outlineLevel="0" collapsed="false">
      <c r="B24" s="51" t="s">
        <v>116</v>
      </c>
      <c r="C24" s="52" t="n">
        <v>94</v>
      </c>
      <c r="D24" s="52" t="n">
        <v>102.4</v>
      </c>
      <c r="E24" s="52" t="n">
        <f aca="false">C24-D24</f>
        <v>-8.40000000000001</v>
      </c>
      <c r="F24" s="54" t="n">
        <f aca="false">IFERROR((C24-D24)/ABS(D24),"-")</f>
        <v>-0.0820312500000001</v>
      </c>
    </row>
    <row r="25" customFormat="false" ht="15" hidden="false" customHeight="false" outlineLevel="0" collapsed="false">
      <c r="B25" s="47" t="s">
        <v>117</v>
      </c>
      <c r="C25" s="48" t="n">
        <v>17.9</v>
      </c>
      <c r="D25" s="48" t="n">
        <v>12.7</v>
      </c>
      <c r="E25" s="48" t="n">
        <f aca="false">C25-D25</f>
        <v>5.2</v>
      </c>
      <c r="F25" s="50" t="n">
        <f aca="false">IFERROR((C25-D25)/ABS(D25),"-")</f>
        <v>0.409448818897638</v>
      </c>
    </row>
    <row r="26" customFormat="false" ht="17.35" hidden="false" customHeight="false" outlineLevel="0" collapsed="false">
      <c r="B26" s="65" t="s">
        <v>118</v>
      </c>
      <c r="C26" s="66" t="n">
        <f aca="false">SUM(C20:C25)-C23</f>
        <v>359</v>
      </c>
      <c r="D26" s="66" t="n">
        <f aca="false">SUM(D20:D25)-D23</f>
        <v>324.8</v>
      </c>
      <c r="E26" s="66" t="n">
        <f aca="false">C26-D26</f>
        <v>34.2</v>
      </c>
      <c r="F26" s="67" t="n">
        <f aca="false">IFERROR((C26-D26)/ABS(D26),"-")</f>
        <v>0.105295566502463</v>
      </c>
    </row>
    <row r="28" customFormat="false" ht="17.35" hidden="false" customHeight="false" outlineLevel="0" collapsed="false">
      <c r="B28" s="42" t="s">
        <v>119</v>
      </c>
      <c r="C28" s="42"/>
      <c r="D28" s="42"/>
      <c r="E28" s="42"/>
      <c r="F28" s="42"/>
    </row>
    <row r="29" customFormat="false" ht="15" hidden="false" customHeight="false" outlineLevel="0" collapsed="false">
      <c r="B29" s="71" t="s">
        <v>120</v>
      </c>
      <c r="C29" s="72" t="n">
        <f aca="false">C26-C17</f>
        <v>0</v>
      </c>
      <c r="D29" s="72" t="n">
        <f aca="false">D26-D17</f>
        <v>0</v>
      </c>
    </row>
  </sheetData>
  <mergeCells count="3">
    <mergeCell ref="A1:L1"/>
    <mergeCell ref="B3:F3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4"/>
    <col collapsed="false" customWidth="true" hidden="false" outlineLevel="0" max="8" min="8" style="0" width="2"/>
  </cols>
  <sheetData>
    <row r="1" customFormat="false" ht="21.75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26.8" hidden="false" customHeight="false" outlineLevel="0" collapsed="false">
      <c r="B3" s="44" t="s">
        <v>121</v>
      </c>
      <c r="C3" s="44"/>
      <c r="D3" s="44"/>
      <c r="E3" s="44"/>
      <c r="F3" s="44"/>
      <c r="G3" s="44"/>
    </row>
    <row r="5" customFormat="false" ht="27.75" hidden="false" customHeight="true" outlineLevel="0" collapsed="false">
      <c r="B5" s="31" t="s">
        <v>70</v>
      </c>
      <c r="C5" s="31" t="s">
        <v>53</v>
      </c>
      <c r="D5" s="31" t="s">
        <v>54</v>
      </c>
      <c r="E5" s="31" t="s">
        <v>55</v>
      </c>
      <c r="F5" s="31" t="s">
        <v>56</v>
      </c>
      <c r="G5" s="31" t="s">
        <v>57</v>
      </c>
    </row>
    <row r="6" customFormat="false" ht="15" hidden="false" customHeight="false" outlineLevel="0" collapsed="false">
      <c r="B6" s="73" t="s">
        <v>122</v>
      </c>
      <c r="C6" s="74" t="n">
        <v>102.4</v>
      </c>
      <c r="D6" s="74" t="n">
        <v>97</v>
      </c>
      <c r="E6" s="74" t="n">
        <v>92.6</v>
      </c>
      <c r="F6" s="74" t="n">
        <v>102.4</v>
      </c>
      <c r="G6" s="74" t="n">
        <v>96</v>
      </c>
    </row>
    <row r="8" customFormat="false" ht="15" hidden="false" customHeight="false" outlineLevel="0" collapsed="false">
      <c r="B8" s="63" t="s">
        <v>123</v>
      </c>
      <c r="C8" s="46"/>
      <c r="D8" s="46"/>
      <c r="E8" s="46"/>
      <c r="F8" s="46"/>
      <c r="G8" s="46"/>
    </row>
    <row r="9" customFormat="false" ht="15" hidden="false" customHeight="false" outlineLevel="0" collapsed="false">
      <c r="B9" s="47" t="s">
        <v>124</v>
      </c>
      <c r="C9" s="48" t="n">
        <v>70.6</v>
      </c>
      <c r="D9" s="48" t="n">
        <v>71.8</v>
      </c>
      <c r="E9" s="48" t="n">
        <v>75.6</v>
      </c>
      <c r="F9" s="48" t="n">
        <f aca="false">SUM(C9:E9)</f>
        <v>218</v>
      </c>
      <c r="G9" s="48" t="n">
        <v>196</v>
      </c>
    </row>
    <row r="10" customFormat="false" ht="15" hidden="false" customHeight="false" outlineLevel="0" collapsed="false">
      <c r="B10" s="51" t="s">
        <v>125</v>
      </c>
      <c r="C10" s="52" t="n">
        <v>-16.2</v>
      </c>
      <c r="D10" s="52" t="n">
        <v>-17.8</v>
      </c>
      <c r="E10" s="52" t="n">
        <v>-16.4</v>
      </c>
      <c r="F10" s="52" t="n">
        <f aca="false">SUM(C10:E10)</f>
        <v>-50.4</v>
      </c>
      <c r="G10" s="52" t="n">
        <v>-42</v>
      </c>
    </row>
    <row r="11" customFormat="false" ht="15" hidden="false" customHeight="false" outlineLevel="0" collapsed="false">
      <c r="B11" s="47" t="s">
        <v>126</v>
      </c>
      <c r="C11" s="48" t="n">
        <v>-44.8</v>
      </c>
      <c r="D11" s="48" t="n">
        <v>-42.6</v>
      </c>
      <c r="E11" s="48" t="n">
        <v>-43.2</v>
      </c>
      <c r="F11" s="48" t="n">
        <f aca="false">SUM(C11:E11)</f>
        <v>-130.6</v>
      </c>
      <c r="G11" s="48" t="n">
        <v>-118</v>
      </c>
    </row>
    <row r="12" customFormat="false" ht="15" hidden="false" customHeight="false" outlineLevel="0" collapsed="false">
      <c r="B12" s="51" t="s">
        <v>87</v>
      </c>
      <c r="C12" s="52" t="n">
        <v>-3.4</v>
      </c>
      <c r="D12" s="52" t="n">
        <v>-3.4</v>
      </c>
      <c r="E12" s="52" t="n">
        <v>-3.6</v>
      </c>
      <c r="F12" s="52" t="n">
        <f aca="false">SUM(C12:E12)</f>
        <v>-10.4</v>
      </c>
      <c r="G12" s="52" t="n">
        <v>-10</v>
      </c>
    </row>
    <row r="13" customFormat="false" ht="15" hidden="false" customHeight="false" outlineLevel="0" collapsed="false">
      <c r="B13" s="47" t="s">
        <v>127</v>
      </c>
      <c r="C13" s="48" t="n">
        <v>-2.8</v>
      </c>
      <c r="D13" s="48" t="n">
        <v>-3</v>
      </c>
      <c r="E13" s="48" t="n">
        <v>-2.6</v>
      </c>
      <c r="F13" s="48" t="n">
        <f aca="false">SUM(C13:E13)</f>
        <v>-8.4</v>
      </c>
      <c r="G13" s="48" t="n">
        <v>-7.5</v>
      </c>
    </row>
    <row r="14" customFormat="false" ht="15" hidden="false" customHeight="false" outlineLevel="0" collapsed="false">
      <c r="B14" s="51" t="s">
        <v>128</v>
      </c>
      <c r="C14" s="52" t="n">
        <v>-2.4</v>
      </c>
      <c r="D14" s="52" t="n">
        <v>-2.2</v>
      </c>
      <c r="E14" s="52" t="n">
        <v>-2.4</v>
      </c>
      <c r="F14" s="52" t="n">
        <f aca="false">SUM(C14:E14)</f>
        <v>-7</v>
      </c>
      <c r="G14" s="52" t="n">
        <v>-6.5</v>
      </c>
    </row>
    <row r="15" customFormat="false" ht="15" hidden="false" customHeight="false" outlineLevel="0" collapsed="false">
      <c r="B15" s="47" t="s">
        <v>129</v>
      </c>
      <c r="C15" s="48" t="n">
        <v>-2.4</v>
      </c>
      <c r="D15" s="48" t="n">
        <v>-2.6</v>
      </c>
      <c r="E15" s="48" t="n">
        <v>-2.6</v>
      </c>
      <c r="F15" s="48" t="n">
        <f aca="false">SUM(C15:E15)</f>
        <v>-7.6</v>
      </c>
      <c r="G15" s="48" t="n">
        <v>-7.5</v>
      </c>
    </row>
    <row r="16" customFormat="false" ht="15" hidden="false" customHeight="false" outlineLevel="0" collapsed="false">
      <c r="B16" s="55" t="s">
        <v>130</v>
      </c>
      <c r="C16" s="56" t="n">
        <f aca="false">SUM(C9:C15)</f>
        <v>-1.4</v>
      </c>
      <c r="D16" s="56" t="n">
        <f aca="false">SUM(D9:D15)</f>
        <v>0.199999999999995</v>
      </c>
      <c r="E16" s="56" t="n">
        <f aca="false">SUM(E9:E15)</f>
        <v>4.79999999999999</v>
      </c>
      <c r="F16" s="56" t="n">
        <f aca="false">SUM(F9:F15)</f>
        <v>3.59999999999995</v>
      </c>
      <c r="G16" s="56" t="n">
        <f aca="false">SUM(G9:G15)</f>
        <v>4.5</v>
      </c>
    </row>
    <row r="18" customFormat="false" ht="15" hidden="false" customHeight="false" outlineLevel="0" collapsed="false">
      <c r="B18" s="63" t="s">
        <v>131</v>
      </c>
      <c r="C18" s="46"/>
      <c r="D18" s="46"/>
      <c r="E18" s="46"/>
      <c r="F18" s="46"/>
      <c r="G18" s="46"/>
    </row>
    <row r="19" customFormat="false" ht="15" hidden="false" customHeight="false" outlineLevel="0" collapsed="false">
      <c r="B19" s="47" t="s">
        <v>132</v>
      </c>
      <c r="C19" s="48" t="n">
        <v>-0.8</v>
      </c>
      <c r="D19" s="48" t="n">
        <v>-1.4</v>
      </c>
      <c r="E19" s="48" t="n">
        <v>0</v>
      </c>
      <c r="F19" s="48" t="n">
        <f aca="false">SUM(C19:E19)</f>
        <v>-2.2</v>
      </c>
      <c r="G19" s="48" t="n">
        <v>-2</v>
      </c>
    </row>
    <row r="20" customFormat="false" ht="15" hidden="false" customHeight="false" outlineLevel="0" collapsed="false">
      <c r="B20" s="55" t="s">
        <v>133</v>
      </c>
      <c r="C20" s="56" t="n">
        <f aca="false">SUM(C19)</f>
        <v>-0.8</v>
      </c>
      <c r="D20" s="56" t="n">
        <f aca="false">SUM(D19)</f>
        <v>-1.4</v>
      </c>
      <c r="E20" s="56" t="n">
        <f aca="false">SUM(E19)</f>
        <v>0</v>
      </c>
      <c r="F20" s="56" t="n">
        <f aca="false">SUM(F19)</f>
        <v>-2.2</v>
      </c>
      <c r="G20" s="56" t="n">
        <f aca="false">SUM(G19)</f>
        <v>-2</v>
      </c>
    </row>
    <row r="22" customFormat="false" ht="15" hidden="false" customHeight="false" outlineLevel="0" collapsed="false">
      <c r="B22" s="63" t="s">
        <v>134</v>
      </c>
      <c r="C22" s="46"/>
      <c r="D22" s="46"/>
      <c r="E22" s="46"/>
      <c r="F22" s="46"/>
      <c r="G22" s="46"/>
    </row>
    <row r="23" customFormat="false" ht="15" hidden="false" customHeight="false" outlineLevel="0" collapsed="false">
      <c r="B23" s="47" t="s">
        <v>135</v>
      </c>
      <c r="C23" s="48" t="n">
        <v>-2</v>
      </c>
      <c r="D23" s="48" t="n">
        <v>-2</v>
      </c>
      <c r="E23" s="48" t="n">
        <v>-2</v>
      </c>
      <c r="F23" s="48" t="n">
        <f aca="false">SUM(C23:E23)</f>
        <v>-6</v>
      </c>
      <c r="G23" s="48" t="n">
        <v>-5</v>
      </c>
    </row>
    <row r="24" customFormat="false" ht="15" hidden="false" customHeight="false" outlineLevel="0" collapsed="false">
      <c r="B24" s="51" t="s">
        <v>136</v>
      </c>
      <c r="C24" s="52" t="n">
        <v>-1.2</v>
      </c>
      <c r="D24" s="52" t="n">
        <v>-1.2</v>
      </c>
      <c r="E24" s="52" t="n">
        <v>-1.4</v>
      </c>
      <c r="F24" s="52" t="n">
        <f aca="false">SUM(C24:E24)</f>
        <v>-3.8</v>
      </c>
      <c r="G24" s="52" t="n">
        <v>-3.4</v>
      </c>
    </row>
    <row r="25" customFormat="false" ht="15" hidden="false" customHeight="false" outlineLevel="0" collapsed="false">
      <c r="B25" s="55" t="s">
        <v>137</v>
      </c>
      <c r="C25" s="56" t="n">
        <f aca="false">SUM(C23:C24)</f>
        <v>-3.2</v>
      </c>
      <c r="D25" s="56" t="n">
        <f aca="false">SUM(D23:D24)</f>
        <v>-3.2</v>
      </c>
      <c r="E25" s="56" t="n">
        <f aca="false">SUM(E23:E24)</f>
        <v>-3.4</v>
      </c>
      <c r="F25" s="56" t="n">
        <f aca="false">SUM(F23:F24)</f>
        <v>-9.8</v>
      </c>
      <c r="G25" s="56" t="n">
        <f aca="false">SUM(G23:G24)</f>
        <v>-8.4</v>
      </c>
    </row>
    <row r="27" customFormat="false" ht="15" hidden="false" customHeight="false" outlineLevel="0" collapsed="false">
      <c r="B27" s="75" t="s">
        <v>138</v>
      </c>
      <c r="C27" s="66" t="n">
        <f aca="false">C16+C20+C25</f>
        <v>-5.4</v>
      </c>
      <c r="D27" s="66" t="n">
        <f aca="false">D16+D20+D25</f>
        <v>-4.40000000000001</v>
      </c>
      <c r="E27" s="66" t="n">
        <f aca="false">E16+E20+E25</f>
        <v>1.39999999999999</v>
      </c>
      <c r="F27" s="66" t="n">
        <f aca="false">F16+F20+F25</f>
        <v>-8.40000000000005</v>
      </c>
      <c r="G27" s="66" t="n">
        <f aca="false">G16+G20+G25</f>
        <v>-5.9</v>
      </c>
    </row>
    <row r="28" customFormat="false" ht="15" hidden="false" customHeight="false" outlineLevel="0" collapsed="false">
      <c r="B28" s="75" t="s">
        <v>139</v>
      </c>
      <c r="C28" s="66" t="n">
        <f aca="false">C6+C27</f>
        <v>97</v>
      </c>
      <c r="D28" s="66" t="n">
        <f aca="false">D6+D27</f>
        <v>92.6</v>
      </c>
      <c r="E28" s="66" t="n">
        <f aca="false">E6+E27</f>
        <v>94</v>
      </c>
      <c r="F28" s="66" t="n">
        <f aca="false">F6+F27</f>
        <v>94</v>
      </c>
      <c r="G28" s="66" t="n">
        <f aca="false">G6+G27</f>
        <v>90.1</v>
      </c>
    </row>
  </sheetData>
  <mergeCells count="2">
    <mergeCell ref="A1:L1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8" min="3" style="0" width="14"/>
    <col collapsed="false" customWidth="true" hidden="false" outlineLevel="0" max="9" min="9" style="0" width="2"/>
  </cols>
  <sheetData>
    <row r="1" customFormat="false" ht="21.75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26.8" hidden="false" customHeight="false" outlineLevel="0" collapsed="false">
      <c r="B3" s="44" t="s">
        <v>140</v>
      </c>
      <c r="C3" s="44"/>
      <c r="D3" s="44"/>
      <c r="E3" s="44"/>
      <c r="F3" s="44"/>
      <c r="G3" s="44"/>
      <c r="H3" s="44"/>
    </row>
    <row r="5" customFormat="false" ht="27.75" hidden="false" customHeight="true" outlineLevel="0" collapsed="false">
      <c r="B5" s="31" t="s">
        <v>141</v>
      </c>
      <c r="C5" s="31" t="s">
        <v>142</v>
      </c>
      <c r="D5" s="31" t="s">
        <v>143</v>
      </c>
      <c r="E5" s="31" t="s">
        <v>144</v>
      </c>
      <c r="F5" s="31" t="s">
        <v>145</v>
      </c>
      <c r="G5" s="31" t="s">
        <v>146</v>
      </c>
      <c r="H5" s="31" t="s">
        <v>147</v>
      </c>
    </row>
    <row r="6" customFormat="false" ht="15" hidden="false" customHeight="false" outlineLevel="0" collapsed="false">
      <c r="B6" s="51" t="s">
        <v>74</v>
      </c>
      <c r="C6" s="52" t="n">
        <v>114.4</v>
      </c>
      <c r="D6" s="52" t="n">
        <v>96.5</v>
      </c>
      <c r="E6" s="54" t="n">
        <f aca="false">IFERROR((C6-D6)/ABS(D6),"-")</f>
        <v>0.185492227979275</v>
      </c>
      <c r="F6" s="52" t="n">
        <v>-42</v>
      </c>
      <c r="G6" s="52" t="n">
        <f aca="false">C6+F6</f>
        <v>72.4</v>
      </c>
      <c r="H6" s="54" t="n">
        <f aca="false">IFERROR((C6+F6)/C6,"-")</f>
        <v>0.632867132867133</v>
      </c>
    </row>
    <row r="7" customFormat="false" ht="15" hidden="false" customHeight="false" outlineLevel="0" collapsed="false">
      <c r="B7" s="47" t="s">
        <v>75</v>
      </c>
      <c r="C7" s="48" t="n">
        <v>70</v>
      </c>
      <c r="D7" s="48" t="n">
        <v>62.4</v>
      </c>
      <c r="E7" s="50" t="n">
        <f aca="false">IFERROR((C7-D7)/ABS(D7),"-")</f>
        <v>0.121794871794872</v>
      </c>
      <c r="F7" s="48" t="n">
        <v>-34</v>
      </c>
      <c r="G7" s="48" t="n">
        <f aca="false">C7+F7</f>
        <v>36</v>
      </c>
      <c r="H7" s="50" t="n">
        <f aca="false">IFERROR((C7+F7)/C7,"-")</f>
        <v>0.514285714285714</v>
      </c>
    </row>
    <row r="8" customFormat="false" ht="15" hidden="false" customHeight="false" outlineLevel="0" collapsed="false">
      <c r="B8" s="51" t="s">
        <v>76</v>
      </c>
      <c r="C8" s="52" t="n">
        <v>50.4</v>
      </c>
      <c r="D8" s="52" t="n">
        <v>48</v>
      </c>
      <c r="E8" s="54" t="n">
        <f aca="false">IFERROR((C8-D8)/ABS(D8),"-")</f>
        <v>0.05</v>
      </c>
      <c r="F8" s="52" t="n">
        <v>-22</v>
      </c>
      <c r="G8" s="52" t="n">
        <f aca="false">C8+F8</f>
        <v>28.4</v>
      </c>
      <c r="H8" s="54" t="n">
        <f aca="false">IFERROR((C8+F8)/C8,"-")</f>
        <v>0.563492063492064</v>
      </c>
    </row>
    <row r="9" customFormat="false" ht="15" hidden="false" customHeight="false" outlineLevel="0" collapsed="false">
      <c r="B9" s="47" t="s">
        <v>77</v>
      </c>
      <c r="C9" s="48" t="n">
        <v>11</v>
      </c>
      <c r="D9" s="48" t="n">
        <v>13.1</v>
      </c>
      <c r="E9" s="50" t="n">
        <f aca="false">IFERROR((C9-D9)/ABS(D9),"-")</f>
        <v>-0.16030534351145</v>
      </c>
      <c r="F9" s="48" t="n">
        <v>-7</v>
      </c>
      <c r="G9" s="48" t="n">
        <f aca="false">C9+F9</f>
        <v>4</v>
      </c>
      <c r="H9" s="50" t="n">
        <f aca="false">IFERROR((C9+F9)/C9,"-")</f>
        <v>0.363636363636364</v>
      </c>
    </row>
    <row r="10" customFormat="false" ht="15" hidden="false" customHeight="false" outlineLevel="0" collapsed="false">
      <c r="B10" s="64" t="s">
        <v>148</v>
      </c>
      <c r="C10" s="56" t="n">
        <f aca="false">SUM(C6:C9)</f>
        <v>245.8</v>
      </c>
      <c r="D10" s="56" t="n">
        <f aca="false">SUM(D6:D9)</f>
        <v>220</v>
      </c>
      <c r="E10" s="57" t="n">
        <f aca="false">IFERROR((C10-D10)/ABS(D10),"-")</f>
        <v>0.117272727272727</v>
      </c>
      <c r="F10" s="56" t="n">
        <f aca="false">SUM(F6:F9)</f>
        <v>-105</v>
      </c>
      <c r="G10" s="56" t="n">
        <f aca="false">C10+F10</f>
        <v>140.8</v>
      </c>
      <c r="H10" s="57" t="n">
        <f aca="false">IFERROR((C10+F10)/C10,"-")</f>
        <v>0.572823433685924</v>
      </c>
    </row>
    <row r="13" customFormat="false" ht="17.35" hidden="false" customHeight="false" outlineLevel="0" collapsed="false">
      <c r="B13" s="6" t="s">
        <v>149</v>
      </c>
    </row>
    <row r="15" customFormat="false" ht="27.75" hidden="false" customHeight="true" outlineLevel="0" collapsed="false">
      <c r="B15" s="31" t="s">
        <v>150</v>
      </c>
      <c r="C15" s="31" t="s">
        <v>151</v>
      </c>
      <c r="D15" s="31" t="s">
        <v>152</v>
      </c>
      <c r="E15" s="31" t="s">
        <v>153</v>
      </c>
      <c r="F15" s="31" t="s">
        <v>154</v>
      </c>
    </row>
    <row r="16" customFormat="false" ht="15" hidden="false" customHeight="false" outlineLevel="0" collapsed="false">
      <c r="B16" s="47" t="s">
        <v>155</v>
      </c>
      <c r="C16" s="52" t="n">
        <v>54.2</v>
      </c>
      <c r="D16" s="54" t="n">
        <f aca="false">IFERROR(C16/$C$10,"-")</f>
        <v>0.220504475183076</v>
      </c>
      <c r="E16" s="76" t="n">
        <v>92</v>
      </c>
      <c r="F16" s="77" t="s">
        <v>156</v>
      </c>
    </row>
    <row r="17" customFormat="false" ht="15" hidden="false" customHeight="false" outlineLevel="0" collapsed="false">
      <c r="B17" s="47" t="s">
        <v>157</v>
      </c>
      <c r="C17" s="48" t="n">
        <v>38.6</v>
      </c>
      <c r="D17" s="50" t="n">
        <f aca="false">IFERROR(C17/$C$10,"-")</f>
        <v>0.157038242473556</v>
      </c>
      <c r="E17" s="78" t="n">
        <v>41</v>
      </c>
      <c r="F17" s="79" t="s">
        <v>158</v>
      </c>
    </row>
    <row r="18" customFormat="false" ht="15" hidden="false" customHeight="false" outlineLevel="0" collapsed="false">
      <c r="B18" s="47" t="s">
        <v>159</v>
      </c>
      <c r="C18" s="52" t="n">
        <v>28.4</v>
      </c>
      <c r="D18" s="54" t="n">
        <f aca="false">IFERROR(C18/$C$10,"-")</f>
        <v>0.115541090317331</v>
      </c>
      <c r="E18" s="76" t="n">
        <v>62</v>
      </c>
      <c r="F18" s="77" t="s">
        <v>156</v>
      </c>
    </row>
  </sheetData>
  <mergeCells count="2">
    <mergeCell ref="A1:L1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Format="false" ht="15" hidden="false" customHeight="false" outlineLevel="0" collapsed="false">
      <c r="H2" s="0" t="n">
        <v>245.8</v>
      </c>
      <c r="I2" s="0" t="n">
        <v>220</v>
      </c>
    </row>
    <row r="3" customFormat="false" ht="26.8" hidden="false" customHeight="false" outlineLevel="0" collapsed="false">
      <c r="B3" s="44" t="s">
        <v>160</v>
      </c>
      <c r="C3" s="44"/>
      <c r="D3" s="44"/>
      <c r="E3" s="44"/>
      <c r="F3" s="44"/>
    </row>
    <row r="5" customFormat="false" ht="27.75" hidden="false" customHeight="true" outlineLevel="0" collapsed="false">
      <c r="B5" s="31" t="s">
        <v>161</v>
      </c>
      <c r="C5" s="31" t="s">
        <v>162</v>
      </c>
      <c r="D5" s="31" t="s">
        <v>163</v>
      </c>
      <c r="E5" s="31" t="s">
        <v>164</v>
      </c>
      <c r="F5" s="31" t="s">
        <v>165</v>
      </c>
    </row>
    <row r="6" customFormat="false" ht="15" hidden="false" customHeight="false" outlineLevel="0" collapsed="false">
      <c r="B6" s="51" t="s">
        <v>166</v>
      </c>
      <c r="C6" s="52" t="n">
        <v>84</v>
      </c>
      <c r="D6" s="54" t="n">
        <f aca="false">IFERROR(C6/$H$2,"-")</f>
        <v>0.341741253051261</v>
      </c>
      <c r="E6" s="52" t="n">
        <v>78</v>
      </c>
      <c r="F6" s="54" t="n">
        <f aca="false">IFERROR(E6/$I$2,"-")</f>
        <v>0.354545454545455</v>
      </c>
    </row>
    <row r="7" customFormat="false" ht="15" hidden="false" customHeight="false" outlineLevel="0" collapsed="false">
      <c r="B7" s="47" t="s">
        <v>167</v>
      </c>
      <c r="C7" s="48" t="n">
        <v>50</v>
      </c>
      <c r="D7" s="50" t="n">
        <f aca="false">IFERROR(C7/$H$2,"-")</f>
        <v>0.203417412530513</v>
      </c>
      <c r="E7" s="48" t="n">
        <v>46.5</v>
      </c>
      <c r="F7" s="50" t="n">
        <f aca="false">IFERROR(E7/$I$2,"-")</f>
        <v>0.211363636363636</v>
      </c>
    </row>
    <row r="8" customFormat="false" ht="15" hidden="false" customHeight="false" outlineLevel="0" collapsed="false">
      <c r="B8" s="51" t="s">
        <v>168</v>
      </c>
      <c r="C8" s="52" t="n">
        <v>22</v>
      </c>
      <c r="D8" s="54" t="n">
        <f aca="false">IFERROR(C8/$H$2,"-")</f>
        <v>0.0895036615134256</v>
      </c>
      <c r="E8" s="52" t="n">
        <v>18.5</v>
      </c>
      <c r="F8" s="54" t="n">
        <f aca="false">IFERROR(E8/$I$2,"-")</f>
        <v>0.0840909090909091</v>
      </c>
    </row>
    <row r="9" customFormat="false" ht="15" hidden="false" customHeight="false" outlineLevel="0" collapsed="false">
      <c r="B9" s="47" t="s">
        <v>169</v>
      </c>
      <c r="C9" s="48" t="n">
        <v>8.5</v>
      </c>
      <c r="D9" s="50" t="n">
        <f aca="false">IFERROR(C9/$H$2,"-")</f>
        <v>0.0345809601301871</v>
      </c>
      <c r="E9" s="48" t="n">
        <v>8</v>
      </c>
      <c r="F9" s="50" t="n">
        <f aca="false">IFERROR(E9/$I$2,"-")</f>
        <v>0.0363636363636364</v>
      </c>
    </row>
    <row r="10" customFormat="false" ht="15" hidden="false" customHeight="false" outlineLevel="0" collapsed="false">
      <c r="B10" s="51" t="s">
        <v>87</v>
      </c>
      <c r="C10" s="52" t="n">
        <v>10.5</v>
      </c>
      <c r="D10" s="54" t="n">
        <f aca="false">IFERROR(C10/$H$2,"-")</f>
        <v>0.0427176566314077</v>
      </c>
      <c r="E10" s="52" t="n">
        <v>10</v>
      </c>
      <c r="F10" s="54" t="n">
        <f aca="false">IFERROR(E10/$I$2,"-")</f>
        <v>0.0454545454545455</v>
      </c>
    </row>
    <row r="11" customFormat="false" ht="15" hidden="false" customHeight="false" outlineLevel="0" collapsed="false">
      <c r="B11" s="47" t="s">
        <v>170</v>
      </c>
      <c r="C11" s="48" t="n">
        <v>8</v>
      </c>
      <c r="D11" s="50" t="n">
        <f aca="false">IFERROR(C11/$H$2,"-")</f>
        <v>0.032546786004882</v>
      </c>
      <c r="E11" s="48" t="n">
        <v>6.4</v>
      </c>
      <c r="F11" s="50" t="n">
        <f aca="false">IFERROR(E11/$I$2,"-")</f>
        <v>0.0290909090909091</v>
      </c>
    </row>
    <row r="12" customFormat="false" ht="15" hidden="false" customHeight="false" outlineLevel="0" collapsed="false">
      <c r="B12" s="51" t="s">
        <v>89</v>
      </c>
      <c r="C12" s="52" t="n">
        <v>4.8</v>
      </c>
      <c r="D12" s="54" t="n">
        <f aca="false">IFERROR(C12/$H$2,"-")</f>
        <v>0.0195280716029292</v>
      </c>
      <c r="E12" s="52" t="n">
        <v>4.2</v>
      </c>
      <c r="F12" s="54" t="n">
        <f aca="false">IFERROR(E12/$I$2,"-")</f>
        <v>0.0190909090909091</v>
      </c>
    </row>
    <row r="13" customFormat="false" ht="15" hidden="false" customHeight="false" outlineLevel="0" collapsed="false">
      <c r="B13" s="47" t="s">
        <v>171</v>
      </c>
      <c r="C13" s="48" t="n">
        <v>2.6</v>
      </c>
      <c r="D13" s="50" t="n">
        <f aca="false">IFERROR(C13/$H$2,"-")</f>
        <v>0.0105777054515867</v>
      </c>
      <c r="E13" s="48" t="n">
        <v>2.4</v>
      </c>
      <c r="F13" s="50" t="n">
        <f aca="false">IFERROR(E13/$I$2,"-")</f>
        <v>0.0109090909090909</v>
      </c>
    </row>
    <row r="14" customFormat="false" ht="15" hidden="false" customHeight="false" outlineLevel="0" collapsed="false">
      <c r="B14" s="51" t="s">
        <v>172</v>
      </c>
      <c r="C14" s="52" t="n">
        <v>6.5</v>
      </c>
      <c r="D14" s="54" t="n">
        <f aca="false">IFERROR(C14/$H$2,"-")</f>
        <v>0.0264442636289666</v>
      </c>
      <c r="E14" s="52" t="n">
        <v>6.2</v>
      </c>
      <c r="F14" s="54" t="n">
        <f aca="false">IFERROR(E14/$I$2,"-")</f>
        <v>0.0281818181818182</v>
      </c>
    </row>
    <row r="15" customFormat="false" ht="15" hidden="false" customHeight="false" outlineLevel="0" collapsed="false">
      <c r="B15" s="55" t="s">
        <v>173</v>
      </c>
      <c r="C15" s="80" t="n">
        <f aca="false">SUM(C6:C14)</f>
        <v>196.9</v>
      </c>
      <c r="D15" s="61" t="n">
        <f aca="false">IFERROR(C15/$H$2,"-")</f>
        <v>0.801057770545159</v>
      </c>
      <c r="E15" s="80" t="n">
        <f aca="false">SUM(E6:E14)</f>
        <v>180.2</v>
      </c>
      <c r="F15" s="61" t="n">
        <f aca="false">IFERROR(E15/$I$2,"-")</f>
        <v>0.819090909090909</v>
      </c>
    </row>
    <row r="18" customFormat="false" ht="17.35" hidden="false" customHeight="false" outlineLevel="0" collapsed="false">
      <c r="B18" s="6" t="s">
        <v>174</v>
      </c>
    </row>
    <row r="20" customFormat="false" ht="27.75" hidden="false" customHeight="true" outlineLevel="0" collapsed="false">
      <c r="B20" s="31" t="s">
        <v>175</v>
      </c>
      <c r="C20" s="31" t="s">
        <v>56</v>
      </c>
      <c r="D20" s="31" t="s">
        <v>57</v>
      </c>
      <c r="E20" s="31" t="s">
        <v>176</v>
      </c>
      <c r="F20" s="31" t="s">
        <v>177</v>
      </c>
    </row>
    <row r="21" customFormat="false" ht="15" hidden="false" customHeight="false" outlineLevel="0" collapsed="false">
      <c r="B21" s="51" t="s">
        <v>178</v>
      </c>
      <c r="C21" s="76" t="n">
        <v>14</v>
      </c>
      <c r="D21" s="76" t="n">
        <v>12</v>
      </c>
      <c r="E21" s="76" t="n">
        <f aca="false">C21-D21</f>
        <v>2</v>
      </c>
      <c r="F21" s="81"/>
    </row>
    <row r="22" customFormat="false" ht="15" hidden="false" customHeight="false" outlineLevel="0" collapsed="false">
      <c r="B22" s="47" t="s">
        <v>179</v>
      </c>
      <c r="C22" s="78" t="n">
        <v>8</v>
      </c>
      <c r="D22" s="78" t="n">
        <v>7</v>
      </c>
      <c r="E22" s="78" t="n">
        <f aca="false">C22-D22</f>
        <v>1</v>
      </c>
      <c r="F22" s="82"/>
    </row>
    <row r="23" customFormat="false" ht="15" hidden="false" customHeight="false" outlineLevel="0" collapsed="false">
      <c r="B23" s="51" t="s">
        <v>180</v>
      </c>
      <c r="C23" s="54" t="n">
        <v>0.71</v>
      </c>
      <c r="D23" s="54" t="n">
        <v>0.64</v>
      </c>
      <c r="E23" s="54" t="n">
        <f aca="false">C23-D23</f>
        <v>0.07</v>
      </c>
      <c r="F23" s="81" t="s">
        <v>181</v>
      </c>
    </row>
    <row r="24" customFormat="false" ht="15" hidden="false" customHeight="false" outlineLevel="0" collapsed="false">
      <c r="B24" s="47" t="s">
        <v>182</v>
      </c>
      <c r="C24" s="48" t="n">
        <v>17.6</v>
      </c>
      <c r="D24" s="48" t="n">
        <v>16.1</v>
      </c>
      <c r="E24" s="48" t="n">
        <f aca="false">C24-D24</f>
        <v>1.5</v>
      </c>
      <c r="F24" s="82" t="s">
        <v>183</v>
      </c>
    </row>
    <row r="25" customFormat="false" ht="15" hidden="false" customHeight="false" outlineLevel="0" collapsed="false">
      <c r="B25" s="51" t="s">
        <v>184</v>
      </c>
      <c r="C25" s="52" t="n">
        <v>6</v>
      </c>
      <c r="D25" s="52" t="n">
        <v>6.5</v>
      </c>
      <c r="E25" s="52" t="n">
        <f aca="false">C25-D25</f>
        <v>-0.5</v>
      </c>
      <c r="F25" s="81" t="s">
        <v>183</v>
      </c>
    </row>
  </sheetData>
  <mergeCells count="2">
    <mergeCell ref="A1:L1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80"/>
    <col collapsed="false" customWidth="true" hidden="false" outlineLevel="0" max="4" min="4" style="0" width="2"/>
  </cols>
  <sheetData>
    <row r="1" customFormat="false" ht="21.75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26.8" hidden="false" customHeight="false" outlineLevel="0" collapsed="false">
      <c r="B3" s="44" t="s">
        <v>185</v>
      </c>
      <c r="C3" s="44"/>
    </row>
    <row r="5" customFormat="false" ht="17.35" hidden="false" customHeight="false" outlineLevel="0" collapsed="false">
      <c r="B5" s="83" t="s">
        <v>186</v>
      </c>
      <c r="C5" s="83"/>
    </row>
    <row r="6" customFormat="false" ht="36" hidden="false" customHeight="true" outlineLevel="0" collapsed="false">
      <c r="B6" s="84" t="s">
        <v>187</v>
      </c>
      <c r="C6" s="85" t="s">
        <v>188</v>
      </c>
    </row>
    <row r="7" customFormat="false" ht="36" hidden="false" customHeight="true" outlineLevel="0" collapsed="false">
      <c r="B7" s="84" t="s">
        <v>187</v>
      </c>
      <c r="C7" s="85" t="s">
        <v>189</v>
      </c>
    </row>
    <row r="8" customFormat="false" ht="36" hidden="false" customHeight="true" outlineLevel="0" collapsed="false">
      <c r="B8" s="84" t="s">
        <v>187</v>
      </c>
      <c r="C8" s="85" t="s">
        <v>190</v>
      </c>
    </row>
    <row r="11" customFormat="false" ht="17.35" hidden="false" customHeight="false" outlineLevel="0" collapsed="false">
      <c r="B11" s="86" t="s">
        <v>191</v>
      </c>
      <c r="C11" s="86"/>
    </row>
    <row r="12" customFormat="false" ht="37.5" hidden="false" customHeight="true" outlineLevel="0" collapsed="false">
      <c r="B12" s="87" t="s">
        <v>192</v>
      </c>
      <c r="C12" s="85" t="s">
        <v>193</v>
      </c>
    </row>
    <row r="13" customFormat="false" ht="37.5" hidden="false" customHeight="true" outlineLevel="0" collapsed="false">
      <c r="B13" s="87" t="s">
        <v>192</v>
      </c>
      <c r="C13" s="85" t="s">
        <v>194</v>
      </c>
    </row>
    <row r="14" customFormat="false" ht="37.5" hidden="false" customHeight="true" outlineLevel="0" collapsed="false">
      <c r="B14" s="87" t="s">
        <v>192</v>
      </c>
      <c r="C14" s="85" t="s">
        <v>195</v>
      </c>
    </row>
    <row r="15" customFormat="false" ht="37.5" hidden="false" customHeight="true" outlineLevel="0" collapsed="false">
      <c r="B15" s="87" t="s">
        <v>192</v>
      </c>
      <c r="C15" s="85" t="s">
        <v>196</v>
      </c>
    </row>
    <row r="18" customFormat="false" ht="17.35" hidden="false" customHeight="false" outlineLevel="0" collapsed="false">
      <c r="B18" s="88" t="s">
        <v>197</v>
      </c>
      <c r="C18" s="88"/>
    </row>
    <row r="19" customFormat="false" ht="49.5" hidden="false" customHeight="true" outlineLevel="0" collapsed="false">
      <c r="B19" s="89" t="s">
        <v>198</v>
      </c>
      <c r="C19" s="90" t="s">
        <v>199</v>
      </c>
    </row>
    <row r="20" customFormat="false" ht="49.5" hidden="false" customHeight="true" outlineLevel="0" collapsed="false">
      <c r="B20" s="89" t="s">
        <v>198</v>
      </c>
      <c r="C20" s="90" t="s">
        <v>200</v>
      </c>
    </row>
    <row r="23" customFormat="false" ht="17.35" hidden="false" customHeight="false" outlineLevel="0" collapsed="false">
      <c r="B23" s="42" t="s">
        <v>201</v>
      </c>
      <c r="C23" s="42"/>
    </row>
    <row r="24" customFormat="false" ht="21.75" hidden="false" customHeight="true" outlineLevel="0" collapsed="false">
      <c r="B24" s="91" t="s">
        <v>202</v>
      </c>
      <c r="C24" s="91"/>
    </row>
    <row r="25" customFormat="false" ht="21.75" hidden="false" customHeight="true" outlineLevel="0" collapsed="false">
      <c r="B25" s="91" t="s">
        <v>203</v>
      </c>
      <c r="C25" s="91"/>
    </row>
    <row r="26" customFormat="false" ht="21.75" hidden="false" customHeight="true" outlineLevel="0" collapsed="false">
      <c r="B26" s="91" t="s">
        <v>204</v>
      </c>
      <c r="C26" s="91"/>
    </row>
    <row r="29" customFormat="false" ht="15" hidden="false" customHeight="true" outlineLevel="0" collapsed="false">
      <c r="B29" s="14" t="s">
        <v>205</v>
      </c>
      <c r="C29" s="14"/>
    </row>
  </sheetData>
  <mergeCells count="10">
    <mergeCell ref="A1:L1"/>
    <mergeCell ref="B3:C3"/>
    <mergeCell ref="B5:C5"/>
    <mergeCell ref="B11:C11"/>
    <mergeCell ref="B18:C18"/>
    <mergeCell ref="B23:C23"/>
    <mergeCell ref="B24:C24"/>
    <mergeCell ref="B25:C25"/>
    <mergeCell ref="B26:C26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2026-04-25T13:46:47Z</dcterms:created>
  <dc:creator>openpyxl</dc:creator>
  <dc:description/>
  <dc:language>en-US</dc:language>
  <cp:lastModifiedBy/>
  <dcterms:modified xsi:type="dcterms:W3CDTF">2026-04-25T13:46:47Z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